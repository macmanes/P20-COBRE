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030" codeName="{8C4F1C90-05EB-6A55-5F09-09C24B55AC0B}"/>
  <workbookPr codeName="ThisWorkbook" autoCompressPictures="0"/>
  <bookViews>
    <workbookView xWindow="0" yWindow="120" windowWidth="20740" windowHeight="11640" tabRatio="641" activeTab="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 i="12" l="1"/>
  <c r="B12" i="12"/>
  <c r="I12" i="12"/>
  <c r="J12" i="12"/>
  <c r="K12" i="12"/>
  <c r="L12" i="12"/>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2" i="12"/>
  <c r="N51" i="12"/>
  <c r="N46" i="12"/>
  <c r="N45" i="12"/>
  <c r="N44" i="12"/>
  <c r="N43" i="12"/>
  <c r="I42" i="12"/>
  <c r="J42" i="12"/>
  <c r="K42" i="12"/>
  <c r="L42" i="12"/>
  <c r="M42" i="12"/>
  <c r="N42" i="12"/>
  <c r="N41" i="12"/>
  <c r="N40" i="12"/>
  <c r="N39" i="12"/>
  <c r="N38" i="12"/>
  <c r="N37" i="12"/>
  <c r="N36" i="12"/>
  <c r="N35" i="12"/>
  <c r="N34" i="12"/>
  <c r="N33" i="12"/>
  <c r="N32" i="12"/>
  <c r="N20" i="12"/>
  <c r="I28" i="12"/>
  <c r="J28" i="12"/>
  <c r="K28" i="12"/>
  <c r="L28" i="12"/>
  <c r="M28" i="12"/>
  <c r="I26" i="12"/>
  <c r="J26" i="12"/>
  <c r="K26" i="12"/>
  <c r="L26" i="12"/>
  <c r="M26" i="12"/>
  <c r="I27" i="12"/>
  <c r="J27" i="12"/>
  <c r="K27" i="12"/>
  <c r="L27" i="12"/>
  <c r="M27" i="12"/>
  <c r="I25" i="12"/>
  <c r="J25" i="12"/>
  <c r="J22" i="12"/>
  <c r="J23" i="12"/>
  <c r="H18" i="12"/>
  <c r="B18" i="12"/>
  <c r="I18" i="12"/>
  <c r="H17" i="12"/>
  <c r="B17" i="12"/>
  <c r="H16" i="12"/>
  <c r="B16" i="12"/>
  <c r="I16" i="12"/>
  <c r="H15" i="12"/>
  <c r="B15" i="12"/>
  <c r="I15" i="12"/>
  <c r="H14" i="12"/>
  <c r="B14" i="12"/>
  <c r="H13" i="12"/>
  <c r="B13"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I49" i="12"/>
  <c r="J19" i="12"/>
  <c r="J29"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<sst xmlns="http://schemas.openxmlformats.org/spreadsheetml/2006/main" count="557" uniqueCount="199">
  <si>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</si>
  <si>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</si>
  <si>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</si>
  <si>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</si>
  <si>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</si>
  <si>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</si>
  <si>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</si>
  <si>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</si>
  <si>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</si>
  <si>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</si>
  <si>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</si>
  <si>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</si>
  <si>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</si>
  <si>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</si>
  <si>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</si>
  <si>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</si>
  <si>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</si>
  <si>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</si>
  <si>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</si>
  <si>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</si>
  <si>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</si>
  <si>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</si>
  <si>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</si>
  <si>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</si>
  <si>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</si>
  <si>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</si>
  <si>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</si>
  <si>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</si>
  <si>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</si>
  <si>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</si>
  <si>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</si>
  <si>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</si>
  <si>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</si>
  <si>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</si>
  <si>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</si>
  <si>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</si>
  <si>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</si>
  <si>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</si>
  <si>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</si>
  <si>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</si>
  <si>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</si>
  <si>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</si>
  <si>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</si>
  <si>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</si>
  <si>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</si>
  <si>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</si>
  <si>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</si>
  <si>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</si>
  <si>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</si>
  <si>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</si>
  <si>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</si>
  <si>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</si>
  <si>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</si>
  <si>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</si>
  <si>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</si>
  <si>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</si>
  <si>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</si>
  <si>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</si>
  <si>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</si>
  <si>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</si>
  <si>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</si>
  <si>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</si>
  <si>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</si>
  <si>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</si>
  <si>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</si>
  <si>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</si>
  <si>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</si>
  <si>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</si>
  <si>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</si>
  <si>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</si>
  <si>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</si>
  <si>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</si>
  <si>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</si>
  <si>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</si>
  <si>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</si>
  <si>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</si>
  <si>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</si>
  <si>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</si>
  <si>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</si>
  <si>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</si>
  <si>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</si>
  <si>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</si>
  <si>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</si>
  <si>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</si>
  <si>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</si>
  <si>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</si>
  <si>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</si>
  <si>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</si>
  <si>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</si>
  <si>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</si>
  <si>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</si>
  <si>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</si>
  <si>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</si>
  <si>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</si>
  <si>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</si>
  <si>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</si>
  <si>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</si>
  <si>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</si>
  <si>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</si>
  <si>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</si>
  <si>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</si>
  <si>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</si>
  <si>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</si>
  <si>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</si>
  <si>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</si>
  <si>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</si>
  <si>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</si>
  <si>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</si>
  <si>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</si>
  <si>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</si>
  <si>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</si>
  <si>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</si>
  <si>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</si>
  <si>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</si>
  <si>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</si>
  <si>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</si>
  <si>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</si>
  <si>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</si>
  <si>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</si>
  <si>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</si>
  <si>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</si>
  <si>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</si>
  <si>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</si>
  <si>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</si>
  <si>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</si>
  <si>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</si>
  <si>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</si>
  <si>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</si>
  <si>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</si>
  <si>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</si>
  <si>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</si>
  <si>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</si>
  <si>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</si>
  <si>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</si>
  <si>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</si>
  <si>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</si>
  <si>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</si>
  <si>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</si>
  <si>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</si>
  <si>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</si>
  <si>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</si>
  <si>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</si>
  <si>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</si>
  <si>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</si>
  <si>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</si>
  <si>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</si>
  <si>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</si>
  <si>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</si>
  <si>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</si>
  <si>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</si>
  <si>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</si>
  <si>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</si>
  <si>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</si>
  <si>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</si>
  <si>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</si>
  <si>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</si>
  <si>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</si>
  <si>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</si>
  <si>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</si>
  <si>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</si>
  <si>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</si>
  <si>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</si>
  <si>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</si>
  <si>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</si>
  <si>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</si>
  <si>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</si>
  <si>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</si>
  <si>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</si>
  <si>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</si>
  <si>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</si>
  <si>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</si>
  <si>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</si>
  <si>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</si>
  <si>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</si>
  <si>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</si>
  <si>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</si>
  <si>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</si>
  <si>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</si>
  <si>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</si>
  <si>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</si>
  <si>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</si>
  <si>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</si>
  <si>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</si>
  <si>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</si>
  <si>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</si>
  <si>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</si>
  <si>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</si>
  <si>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</si>
  <si>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</si>
  <si>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</si>
  <si>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</si>
  <si>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</si>
  <si>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</si>
  <si>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</si>
  <si>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</si>
  <si>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</si>
  <si>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</si>
  <si>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</si>
  <si>
    <t>CoPI2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</si>
</sst>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amily val="2"/>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7">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7">
    <cellStyle name="Comma" xfId="1" builtinId="3"/>
    <cellStyle name="Followed Hyperlink" xfId="6" builtinId="9" hidden="1"/>
    <cellStyle name="Hyperlink" xfId="5"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182</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0.03</v>
      </c>
    </row>
    <row r="15" spans="1:2">
      <c r="A15" s="94" t="s">
        <v>41</v>
      </c>
    </row>
    <row r="16" spans="1:2">
      <c r="A16" s="95" t="s">
        <v>54</v>
      </c>
      <c r="B16" s="101">
        <v>41974</v>
      </c>
    </row>
    <row r="17" spans="1:7" ht="23" customHeight="1">
      <c r="A17" s="95" t="s">
        <v>148</v>
      </c>
      <c r="B17" s="100">
        <v>5</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abSelected="1" zoomScale="150" zoomScaleNormal="150" zoomScalePageLayoutView="150" workbookViewId="0">
      <selection activeCell="J22" sqref="J22"/>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8">
      <c r="A12" s="6" t="s">
        <v>110</v>
      </c>
      <c r="B12" s="38">
        <f t="shared" si="0"/>
        <v>0.03</v>
      </c>
      <c r="C12" s="3"/>
      <c r="D12" s="34"/>
      <c r="E12" s="154"/>
      <c r="F12" s="33">
        <v>3</v>
      </c>
      <c r="G12" s="24" t="s">
        <v>62</v>
      </c>
      <c r="H12" s="7">
        <f>$E11/9*$F12</f>
        <v>24666.666666666668</v>
      </c>
      <c r="I12" s="90">
        <f t="shared" si="1"/>
        <v>25406.666666666668</v>
      </c>
      <c r="J12" s="90">
        <f t="shared" si="1"/>
        <v>26168.866666666669</v>
      </c>
      <c r="K12" s="90">
        <f t="shared" si="1"/>
        <v>26953.932666666671</v>
      </c>
      <c r="L12" s="90">
        <f t="shared" si="1"/>
        <v>27762.55064666667</v>
      </c>
      <c r="M12" s="90">
        <f t="shared" si="1"/>
        <v>28595.427166066671</v>
      </c>
      <c r="N12" s="8">
        <f>SUM( $I$12:$M$12)</f>
        <v>134887.44381273334</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198</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25406.666666666668</v>
      </c>
      <c r="J19" s="48">
        <f>SUM( J11:J18)</f>
        <v>26168.866666666669</v>
      </c>
      <c r="K19" s="48">
        <f>SUM( K11:K18)</f>
        <v>26953.932666666671</v>
      </c>
      <c r="L19" s="48">
        <f>SUM( L11:L18)</f>
        <v>27762.55064666667</v>
      </c>
      <c r="M19" s="48">
        <f>SUM( M11:M18)</f>
        <v>28595.427166066671</v>
      </c>
      <c r="N19" s="48">
        <f>SUM( $I$19:$M$19)</f>
        <v>134887.44381273334</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17595</v>
      </c>
      <c r="J21" s="32">
        <v>0</v>
      </c>
      <c r="K21" s="32">
        <v>0</v>
      </c>
      <c r="L21" s="32">
        <v>19551</v>
      </c>
      <c r="M21" s="32">
        <v>20880</v>
      </c>
      <c r="N21" s="71">
        <f>SUM( $I$21:$M$21)</f>
        <v>58026</v>
      </c>
      <c r="P21" s="72" t="s">
        <v>102</v>
      </c>
      <c r="Q21" s="72" t="s">
        <v>103</v>
      </c>
      <c r="R21" s="160"/>
    </row>
    <row r="22" spans="1:18" s="71" customFormat="1">
      <c r="A22" s="73"/>
      <c r="B22" s="73"/>
      <c r="C22" s="74"/>
      <c r="D22" s="70" t="s">
        <v>145</v>
      </c>
      <c r="H22" s="75">
        <v>0</v>
      </c>
      <c r="I22" s="32">
        <v>11730</v>
      </c>
      <c r="J22" s="32">
        <f t="shared" ref="I22:M28" si="2">I22*(1+J$8)</f>
        <v>12081.899992134422</v>
      </c>
      <c r="K22" s="32">
        <f t="shared" si="2"/>
        <v>12444.35698379691</v>
      </c>
      <c r="L22" s="32">
        <f t="shared" si="2"/>
        <v>12817.687684966226</v>
      </c>
      <c r="M22" s="32">
        <f t="shared" si="2"/>
        <v>13202.218306920284</v>
      </c>
      <c r="N22" s="71">
        <f>SUM( $I$22:$M$22)</f>
        <v>62276.162967817843</v>
      </c>
      <c r="P22" s="72" t="s">
        <v>102</v>
      </c>
      <c r="Q22" s="72" t="s">
        <v>88</v>
      </c>
      <c r="R22" s="160"/>
    </row>
    <row r="23" spans="1:18" s="71" customFormat="1">
      <c r="A23" s="76"/>
      <c r="B23" s="76"/>
      <c r="C23" s="77"/>
      <c r="D23" s="66" t="s">
        <v>95</v>
      </c>
      <c r="E23" s="68"/>
      <c r="F23" s="68"/>
      <c r="G23" s="78" t="s">
        <v>15</v>
      </c>
      <c r="H23" s="75">
        <v>0</v>
      </c>
      <c r="I23" s="68">
        <f>SUM(I21:I22)</f>
        <v>29325</v>
      </c>
      <c r="J23" s="68">
        <f>SUM(J21:J22)</f>
        <v>12081.899992134422</v>
      </c>
      <c r="K23" s="68">
        <f>SUM(K21:K22)</f>
        <v>12444.35698379691</v>
      </c>
      <c r="L23" s="68">
        <f>SUM(L21:L22)</f>
        <v>32368.687684966226</v>
      </c>
      <c r="M23" s="68">
        <f>SUM(M21:M22)</f>
        <v>34082.218306920287</v>
      </c>
      <c r="N23" s="68">
        <f>SUM( $I$23:$M$23)</f>
        <v>120302.16296781784</v>
      </c>
      <c r="O23" s="68"/>
      <c r="P23" s="79"/>
      <c r="Q23" s="79"/>
      <c r="R23" s="161"/>
    </row>
    <row r="24" spans="1:18" s="71" customFormat="1">
      <c r="A24" s="73"/>
      <c r="B24" s="73"/>
      <c r="C24" s="74"/>
      <c r="D24" s="70" t="s">
        <v>66</v>
      </c>
      <c r="G24" s="75" t="s">
        <v>16</v>
      </c>
      <c r="H24" s="75">
        <v>0</v>
      </c>
      <c r="I24" s="32">
        <v>39264</v>
      </c>
      <c r="J24" s="32">
        <v>41364</v>
      </c>
      <c r="K24" s="32">
        <v>44340</v>
      </c>
      <c r="L24" s="32">
        <v>39264</v>
      </c>
      <c r="M24" s="32">
        <v>41364</v>
      </c>
      <c r="N24" s="71">
        <f>SUM( $I$24:$M$24)</f>
        <v>205596</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f t="shared" si="2"/>
        <v>0</v>
      </c>
      <c r="J27" s="32">
        <f t="shared" si="2"/>
        <v>0</v>
      </c>
      <c r="K27" s="32">
        <f t="shared" si="2"/>
        <v>0</v>
      </c>
      <c r="L27" s="32">
        <f t="shared" si="2"/>
        <v>0</v>
      </c>
      <c r="M27" s="32">
        <f t="shared" si="2"/>
        <v>0</v>
      </c>
      <c r="N27" s="71">
        <f>SUM( $I$27:$M$27)</f>
        <v>0</v>
      </c>
      <c r="P27" s="72" t="s">
        <v>102</v>
      </c>
      <c r="Q27" s="72" t="s">
        <v>88</v>
      </c>
      <c r="R27" s="160"/>
    </row>
    <row r="28" spans="1:18">
      <c r="A28" s="73"/>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P28" s="42" t="s">
        <v>102</v>
      </c>
      <c r="Q28" s="42" t="s">
        <v>103</v>
      </c>
    </row>
    <row r="29" spans="1:18">
      <c r="A29" s="47"/>
      <c r="B29" s="47"/>
      <c r="C29" s="48"/>
      <c r="D29" s="66" t="s">
        <v>69</v>
      </c>
      <c r="E29" s="49"/>
      <c r="F29" s="49"/>
      <c r="G29" s="48"/>
      <c r="H29" s="48"/>
      <c r="I29" s="48">
        <f>SUM(I24:I28)+I23+I19</f>
        <v>93995.666666666672</v>
      </c>
      <c r="J29" s="48">
        <f>SUM(J24:J28)+J23+J19</f>
        <v>79614.766658801091</v>
      </c>
      <c r="K29" s="48">
        <f>SUM(K24:K28)+K23+K19</f>
        <v>83738.289650463586</v>
      </c>
      <c r="L29" s="48">
        <f>SUM(L24:L28)+L23+L19</f>
        <v>99395.238331632892</v>
      </c>
      <c r="M29" s="48">
        <f>SUM(M24:M28)+M23+M19</f>
        <v>104041.64547298696</v>
      </c>
      <c r="N29" s="48">
        <f>SUM( $I$29:$M$29)</f>
        <v>460785.6067805512</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15332.7114687711</v>
      </c>
      <c r="J30" s="71">
        <f>(SUMIF($Q10:$Q28,"FF",J10:J28)*J5) + (SUMIF($Q10:$Q28,"PF",J10:J28)*J6) + (SUMIF($Q10:$Q28,"PD",J10:J28)*J7)</f>
        <v>16080.381778117098</v>
      </c>
      <c r="K30" s="71">
        <f>(SUMIF($Q10:$Q28,"FF",K10:K28)*K5) + (SUMIF($Q10:$Q28,"PF",K10:K28)*K6) + (SUMIF($Q10:$Q28,"PD",K10:K28)*K7)</f>
        <v>17104.138201957416</v>
      </c>
      <c r="L30" s="71">
        <f>(SUMIF($Q10:$Q28,"FF",L10:L28)*L5) + (SUMIF($Q10:$Q28,"PF",L10:L28)*L6) + (SUMIF($Q10:$Q28,"PD",L10:L28)*L7)</f>
        <v>15618.527906084895</v>
      </c>
      <c r="M30" s="71">
        <f>(SUMIF($Q10:$Q28,"FF",M10:M28)*M5) + (SUMIF($Q10:$Q28,"PF",M10:M28)*M6) + (SUMIF($Q10:$Q28,"PD",M10:M28)*M7)</f>
        <v>16374.772708489771</v>
      </c>
      <c r="N30" s="81">
        <f>SUM( $I$30:$M$30)</f>
        <v>80510.53206342028</v>
      </c>
      <c r="P30" s="42" t="s">
        <v>102</v>
      </c>
    </row>
    <row r="31" spans="1:18" ht="26" customHeight="1">
      <c r="A31" s="47"/>
      <c r="B31" s="47"/>
      <c r="C31" s="48"/>
      <c r="D31" s="66" t="s">
        <v>71</v>
      </c>
      <c r="E31" s="49"/>
      <c r="F31" s="49"/>
      <c r="G31" s="48"/>
      <c r="H31" s="48"/>
      <c r="I31" s="48">
        <f>SUM(I29+I30)</f>
        <v>109328.37813543777</v>
      </c>
      <c r="J31" s="48">
        <f>SUM(J29+J30)</f>
        <v>95695.148436918185</v>
      </c>
      <c r="K31" s="48">
        <f>SUM(K29+K30)</f>
        <v>100842.42785242101</v>
      </c>
      <c r="L31" s="48">
        <f>SUM(L29+L30)</f>
        <v>115013.76623771779</v>
      </c>
      <c r="M31" s="48">
        <f>SUM(M29+M30)</f>
        <v>120416.41818147674</v>
      </c>
      <c r="N31" s="48">
        <f>SUM( $I$31:$M$31)</f>
        <v>541296.13884397154</v>
      </c>
      <c r="O31" s="48"/>
      <c r="P31" s="53"/>
      <c r="Q31" s="53"/>
      <c r="R31" s="157"/>
    </row>
    <row r="32" spans="1:18">
      <c r="A32" s="39" t="s">
        <v>105</v>
      </c>
      <c r="B32" s="39"/>
      <c r="C32" s="40" t="s">
        <v>72</v>
      </c>
      <c r="G32" s="80">
        <v>721100</v>
      </c>
      <c r="H32" s="80">
        <v>0</v>
      </c>
      <c r="I32" s="90">
        <v>16926</v>
      </c>
      <c r="J32" s="90">
        <v>0</v>
      </c>
      <c r="K32" s="90">
        <v>0</v>
      </c>
      <c r="L32" s="90">
        <v>21117</v>
      </c>
      <c r="M32" s="90">
        <v>22670</v>
      </c>
      <c r="N32" s="40">
        <f>SUM( $I$32:$M$32)</f>
        <v>60713</v>
      </c>
      <c r="P32" s="42" t="s">
        <v>106</v>
      </c>
    </row>
    <row r="33" spans="1:18">
      <c r="A33" s="39" t="s">
        <v>105</v>
      </c>
      <c r="B33" s="39"/>
      <c r="C33" s="40" t="s">
        <v>73</v>
      </c>
      <c r="G33" s="80">
        <v>740000</v>
      </c>
      <c r="H33" s="80">
        <v>0</v>
      </c>
      <c r="I33" s="90">
        <v>8000</v>
      </c>
      <c r="J33" s="90">
        <v>0</v>
      </c>
      <c r="K33" s="90">
        <v>0</v>
      </c>
      <c r="L33" s="90">
        <v>0</v>
      </c>
      <c r="M33" s="90">
        <v>0</v>
      </c>
      <c r="N33" s="40">
        <f>SUM( $I$33:$M$33)</f>
        <v>8000</v>
      </c>
      <c r="P33" s="42" t="s">
        <v>106</v>
      </c>
    </row>
    <row r="34" spans="1:18">
      <c r="A34" s="91" t="s">
        <v>105</v>
      </c>
      <c r="B34" s="91"/>
      <c r="C34" s="40" t="s">
        <v>74</v>
      </c>
      <c r="G34" s="80">
        <v>710000</v>
      </c>
      <c r="H34" s="80">
        <v>0</v>
      </c>
      <c r="I34" s="90">
        <v>2000</v>
      </c>
      <c r="J34" s="90">
        <v>4000</v>
      </c>
      <c r="K34" s="90">
        <v>4000</v>
      </c>
      <c r="L34" s="90">
        <v>2000</v>
      </c>
      <c r="M34" s="90">
        <v>2000</v>
      </c>
      <c r="N34" s="40">
        <f>SUM( $I$34:$M$34)</f>
        <v>14000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40000</v>
      </c>
      <c r="J36" s="90">
        <v>75000</v>
      </c>
      <c r="K36" s="90">
        <v>65000</v>
      </c>
      <c r="L36" s="90">
        <v>40000</v>
      </c>
      <c r="M36" s="90">
        <v>30000</v>
      </c>
      <c r="N36" s="40">
        <f>SUM( $I$36:$M$36)</f>
        <v>250000</v>
      </c>
      <c r="P36" s="42" t="s">
        <v>102</v>
      </c>
    </row>
    <row r="37" spans="1:18">
      <c r="A37" s="91" t="s">
        <v>105</v>
      </c>
      <c r="B37" s="91"/>
      <c r="D37" s="40" t="s">
        <v>97</v>
      </c>
      <c r="G37" s="80">
        <v>711200</v>
      </c>
      <c r="H37" s="80">
        <v>0</v>
      </c>
      <c r="I37" s="90">
        <v>1500</v>
      </c>
      <c r="J37" s="90">
        <v>1500</v>
      </c>
      <c r="K37" s="90">
        <v>3000</v>
      </c>
      <c r="L37" s="90">
        <v>1500</v>
      </c>
      <c r="M37" s="90">
        <v>3000</v>
      </c>
      <c r="N37" s="40">
        <f>SUM( $I$37:$M$37)</f>
        <v>10500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0</v>
      </c>
      <c r="J43" s="90">
        <v>0</v>
      </c>
      <c r="K43" s="90">
        <v>0</v>
      </c>
      <c r="L43" s="90">
        <v>0</v>
      </c>
      <c r="M43" s="90">
        <v>0</v>
      </c>
      <c r="N43" s="40">
        <f>SUM( $I$43:$M$43)</f>
        <v>0</v>
      </c>
      <c r="P43" s="42" t="s">
        <v>102</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177754.37813543779</v>
      </c>
      <c r="J47" s="48">
        <f t="shared" si="3"/>
        <v>176195.14843691819</v>
      </c>
      <c r="K47" s="48">
        <f t="shared" si="3"/>
        <v>172842.42785242101</v>
      </c>
      <c r="L47" s="48">
        <f t="shared" si="3"/>
        <v>179630.76623771779</v>
      </c>
      <c r="M47" s="48">
        <f t="shared" si="3"/>
        <v>178086.41818147674</v>
      </c>
      <c r="N47" s="48">
        <f>SUM( $I$47:$M$47)</f>
        <v>884509.13884397165</v>
      </c>
      <c r="O47" s="48"/>
      <c r="P47" s="53"/>
      <c r="Q47" s="53"/>
      <c r="R47" s="157"/>
    </row>
    <row r="48" spans="1:18" s="108" customFormat="1" ht="15.75" customHeight="1">
      <c r="D48" s="108" t="s">
        <v>11</v>
      </c>
      <c r="E48" s="109"/>
      <c r="F48" s="109"/>
      <c r="H48" s="108">
        <f t="shared" ref="H48:M48" si="4">SUMIF($P$10:$P$46,"Y",H10:H46)</f>
        <v>24666.666666666668</v>
      </c>
      <c r="I48" s="108">
        <f t="shared" si="4"/>
        <v>152828.37813543779</v>
      </c>
      <c r="J48" s="108">
        <f t="shared" si="4"/>
        <v>176195.14843691819</v>
      </c>
      <c r="K48" s="108">
        <f t="shared" si="4"/>
        <v>172842.42785242101</v>
      </c>
      <c r="L48" s="108">
        <f t="shared" si="4"/>
        <v>158513.76623771779</v>
      </c>
      <c r="M48" s="108">
        <f t="shared" si="4"/>
        <v>155416.41818147674</v>
      </c>
      <c r="N48" s="108">
        <f>SUM( $I$48:$M$48)</f>
        <v>815796.13884397154</v>
      </c>
      <c r="P48" s="109"/>
      <c r="Q48" s="109"/>
      <c r="R48" s="162"/>
    </row>
    <row r="49" spans="1:18" ht="27.75" customHeight="1">
      <c r="C49" s="40" t="s">
        <v>77</v>
      </c>
      <c r="G49" s="80"/>
      <c r="H49" s="40">
        <f t="shared" ref="H49:M49" si="5">H4*H48</f>
        <v>0</v>
      </c>
      <c r="I49" s="40">
        <f t="shared" si="5"/>
        <v>72593.478703404835</v>
      </c>
      <c r="J49" s="40">
        <f t="shared" si="5"/>
        <v>83692.694457331221</v>
      </c>
      <c r="K49" s="40">
        <f t="shared" si="5"/>
        <v>82100.152199678821</v>
      </c>
      <c r="L49" s="40">
        <f t="shared" si="5"/>
        <v>75294.038018100284</v>
      </c>
      <c r="M49" s="40">
        <f t="shared" si="5"/>
        <v>73822.797709847408</v>
      </c>
      <c r="N49" s="40">
        <f>SUM( $I$49:$M$49)</f>
        <v>387503.16108836251</v>
      </c>
    </row>
    <row r="50" spans="1:18" ht="32" customHeight="1">
      <c r="A50" s="48"/>
      <c r="B50" s="48"/>
      <c r="C50" s="48"/>
      <c r="D50" s="48" t="s">
        <v>12</v>
      </c>
      <c r="E50" s="49"/>
      <c r="F50" s="49"/>
      <c r="G50" s="48"/>
      <c r="H50" s="48">
        <f t="shared" ref="H50:M50" si="6">SUM(H49+H47)</f>
        <v>0</v>
      </c>
      <c r="I50" s="48">
        <f t="shared" si="6"/>
        <v>250347.85683884262</v>
      </c>
      <c r="J50" s="48">
        <f t="shared" si="6"/>
        <v>259887.84289424942</v>
      </c>
      <c r="K50" s="48">
        <f t="shared" si="6"/>
        <v>254942.58005209983</v>
      </c>
      <c r="L50" s="48">
        <f t="shared" si="6"/>
        <v>254924.80425581808</v>
      </c>
      <c r="M50" s="48">
        <f t="shared" si="6"/>
        <v>251909.21589132416</v>
      </c>
      <c r="N50" s="48">
        <f>SUM( $I$50:$M$50)</f>
        <v>1272012.2999323341</v>
      </c>
      <c r="O50" s="48"/>
      <c r="P50" s="53"/>
      <c r="Q50" s="53"/>
      <c r="R50" s="157"/>
    </row>
    <row r="51" spans="1:18" ht="29" customHeight="1">
      <c r="C51" s="40" t="s">
        <v>14</v>
      </c>
      <c r="E51" s="80"/>
      <c r="F51" s="80"/>
      <c r="I51" s="40">
        <v>54151.133679801424</v>
      </c>
      <c r="J51" s="40">
        <v>55775.667690195478</v>
      </c>
      <c r="K51" s="40">
        <v>57448.93772090134</v>
      </c>
      <c r="L51" s="40">
        <v>59172.405852528384</v>
      </c>
      <c r="M51" s="40">
        <v>60947.578028104232</v>
      </c>
      <c r="N51" s="40">
        <f>SUM( $I$51:$M$51)</f>
        <v>287495.72297153086</v>
      </c>
    </row>
    <row r="52" spans="1:18">
      <c r="C52" s="40" t="s">
        <v>13</v>
      </c>
      <c r="N52" s="40">
        <f>SUM( $I$52:$M$52)</f>
        <v>0</v>
      </c>
    </row>
    <row r="53" spans="1:18" ht="29" customHeight="1">
      <c r="A53" s="48"/>
      <c r="B53" s="48"/>
      <c r="C53" s="48"/>
      <c r="D53" s="48" t="s">
        <v>78</v>
      </c>
      <c r="E53" s="49"/>
      <c r="F53" s="49"/>
      <c r="G53" s="48"/>
      <c r="H53" s="48">
        <f t="shared" ref="H53:M53" si="7">SUM(H52+H51+H50)</f>
        <v>0</v>
      </c>
      <c r="I53" s="48">
        <f t="shared" si="7"/>
        <v>304498.99051864404</v>
      </c>
      <c r="J53" s="48">
        <f t="shared" si="7"/>
        <v>315663.51058444491</v>
      </c>
      <c r="K53" s="48">
        <f t="shared" si="7"/>
        <v>312391.51777300116</v>
      </c>
      <c r="L53" s="48">
        <f t="shared" si="7"/>
        <v>314097.21010834648</v>
      </c>
      <c r="M53" s="48">
        <f t="shared" si="7"/>
        <v>312856.79391942837</v>
      </c>
      <c r="N53" s="48">
        <f>SUM( $I$53:$M$53)</f>
        <v>1559508.0229038652</v>
      </c>
      <c r="O53" s="48"/>
      <c r="P53" s="53"/>
      <c r="Q53" s="53"/>
      <c r="R53" s="157"/>
    </row>
    <row r="59" spans="1:18">
      <c r="A59" s="64"/>
      <c r="B59" s="64"/>
      <c r="C59" s="64"/>
      <c r="D59" s="64"/>
    </row>
  </sheetData>
  <sheetProtection password="E81C"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workbookViewId="0">
      <selection activeCell="G13" sqref="G1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197</v>
      </c>
      <c r="E13" s="89">
        <v>74000</v>
      </c>
      <c r="F13" s="33">
        <v>3</v>
      </c>
      <c r="G13" s="24" t="s">
        <v>61</v>
      </c>
      <c r="H13" s="7">
        <f>$E13/9*$F13</f>
        <v>24666.666666666668</v>
      </c>
      <c r="I13" s="90">
        <f t="shared" si="1"/>
        <v>25406.666666666668</v>
      </c>
      <c r="J13" s="90">
        <f t="shared" si="1"/>
        <v>26168.866666666669</v>
      </c>
      <c r="K13" s="90">
        <f t="shared" si="1"/>
        <v>26953.932666666671</v>
      </c>
      <c r="L13" s="90">
        <f t="shared" si="1"/>
        <v>27762.55064666667</v>
      </c>
      <c r="M13" s="90">
        <f t="shared" si="1"/>
        <v>28595.427166066671</v>
      </c>
      <c r="N13" s="7">
        <f>SUM( $I$13:$M$13)</f>
        <v>134887.44381273334</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25406.666666666668</v>
      </c>
      <c r="J19" s="48">
        <f>SUM( J11:J18)</f>
        <v>26168.866666666669</v>
      </c>
      <c r="K19" s="48">
        <f>SUM( K11:K18)</f>
        <v>26953.932666666671</v>
      </c>
      <c r="L19" s="48">
        <f>SUM( L11:L18)</f>
        <v>27762.55064666667</v>
      </c>
      <c r="M19" s="48">
        <f>SUM( M11:M18)</f>
        <v>28595.427166066671</v>
      </c>
      <c r="N19" s="48">
        <f>SUM( $I$19:$M$19)</f>
        <v>134887.44381273334</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25406.666666666668</v>
      </c>
      <c r="J29" s="48">
        <f>SUM(J24:J28)+J23+J19</f>
        <v>26168.866666666669</v>
      </c>
      <c r="K29" s="48">
        <f>SUM(K24:K28)+K23+K19</f>
        <v>26953.932666666671</v>
      </c>
      <c r="L29" s="48">
        <f>SUM(L24:L28)+L23+L19</f>
        <v>27762.55064666667</v>
      </c>
      <c r="M29" s="48">
        <f>SUM(M24:M28)+M23+M19</f>
        <v>28595.427166066671</v>
      </c>
      <c r="N29" s="48">
        <f>SUM( $I$29:$M$29)</f>
        <v>134887.44381273334</v>
      </c>
      <c r="O29" s="48"/>
      <c r="P29" s="53"/>
      <c r="Q29" s="53"/>
    </row>
    <row r="30" spans="2:17">
      <c r="B30" s="69"/>
      <c r="C30" s="70" t="s">
        <v>70</v>
      </c>
      <c r="D30" s="71"/>
      <c r="E30" s="71"/>
      <c r="F30" s="71"/>
      <c r="G30" s="80" t="s">
        <v>131</v>
      </c>
      <c r="H30" s="80">
        <v>0</v>
      </c>
      <c r="I30" s="71">
        <f>(SUMIF($Q10:$Q28,"FF",I10:I28)*I5) + (SUMIF($Q10:$Q28,"PF",I10:I28)*I6) + (SUMIF($Q10:$Q28,"PD",I10:I28)*I7)</f>
        <v>11305.966484944027</v>
      </c>
      <c r="J30" s="71">
        <f>(SUMIF($Q10:$Q28,"FF",J10:J28)*J5) + (SUMIF($Q10:$Q28,"PF",J10:J28)*J6) + (SUMIF($Q10:$Q28,"PD",J10:J28)*J7)</f>
        <v>11645.145479492347</v>
      </c>
      <c r="K30" s="71">
        <f>(SUMIF($Q10:$Q28,"FF",K10:K28)*K5) + (SUMIF($Q10:$Q28,"PF",K10:K28)*K6) + (SUMIF($Q10:$Q28,"PD",K10:K28)*K7)</f>
        <v>11994.499843877118</v>
      </c>
      <c r="L30" s="71">
        <f>(SUMIF($Q10:$Q28,"FF",L10:L28)*L5) + (SUMIF($Q10:$Q28,"PF",L10:L28)*L6) + (SUMIF($Q10:$Q28,"PD",L10:L28)*L7)</f>
        <v>12354.334839193432</v>
      </c>
      <c r="M30" s="71">
        <f>(SUMIF($Q10:$Q28,"FF",M10:M28)*M5) + (SUMIF($Q10:$Q28,"PF",M10:M28)*M6) + (SUMIF($Q10:$Q28,"PD",M10:M28)*M7)</f>
        <v>12724.964884369236</v>
      </c>
      <c r="N30" s="81">
        <f>SUM( $I$30:$M$30)</f>
        <v>60024.911531876161</v>
      </c>
      <c r="O30" s="40"/>
      <c r="P30" s="42" t="s">
        <v>102</v>
      </c>
      <c r="Q30" s="42"/>
    </row>
    <row r="31" spans="2:17">
      <c r="B31" s="47"/>
      <c r="C31" s="48"/>
      <c r="D31" s="66" t="s">
        <v>71</v>
      </c>
      <c r="E31" s="49"/>
      <c r="F31" s="49"/>
      <c r="G31" s="48"/>
      <c r="H31" s="48"/>
      <c r="I31" s="48">
        <f>SUM(I29+I30)</f>
        <v>36712.633151610695</v>
      </c>
      <c r="J31" s="48">
        <f>SUM(J29+J30)</f>
        <v>37814.012146159017</v>
      </c>
      <c r="K31" s="48">
        <f>SUM(K29+K30)</f>
        <v>38948.432510543789</v>
      </c>
      <c r="L31" s="48">
        <f>SUM(L29+L30)</f>
        <v>40116.885485860104</v>
      </c>
      <c r="M31" s="48">
        <f>SUM(M29+M30)</f>
        <v>41320.392050435905</v>
      </c>
      <c r="N31" s="48">
        <f>SUM( $I$31:$M$31)</f>
        <v>194912.35534460953</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36712.633151610695</v>
      </c>
      <c r="J47" s="48">
        <f t="shared" si="3"/>
        <v>37814.012146159017</v>
      </c>
      <c r="K47" s="48">
        <f t="shared" si="3"/>
        <v>38948.432510543789</v>
      </c>
      <c r="L47" s="48">
        <f t="shared" si="3"/>
        <v>40116.885485860104</v>
      </c>
      <c r="M47" s="48">
        <f t="shared" si="3"/>
        <v>41320.392050435905</v>
      </c>
      <c r="N47" s="48">
        <f>SUM( $I$47:$M$47)</f>
        <v>194912.35534460953</v>
      </c>
      <c r="O47" s="48"/>
      <c r="P47" s="53"/>
      <c r="Q47" s="53"/>
    </row>
    <row r="48" spans="2:17">
      <c r="B48" s="108"/>
      <c r="C48" s="108"/>
      <c r="D48" s="108" t="s">
        <v>11</v>
      </c>
      <c r="E48" s="109"/>
      <c r="F48" s="109"/>
      <c r="G48" s="108"/>
      <c r="H48" s="108">
        <f t="shared" ref="H48:M48" si="4">SUMIF($P$10:$P$46,"Y",H10:H46)</f>
        <v>24666.666666666668</v>
      </c>
      <c r="I48" s="108">
        <f t="shared" si="4"/>
        <v>36712.633151610695</v>
      </c>
      <c r="J48" s="108">
        <f t="shared" si="4"/>
        <v>37814.012146159017</v>
      </c>
      <c r="K48" s="108">
        <f t="shared" si="4"/>
        <v>38948.432510543789</v>
      </c>
      <c r="L48" s="108">
        <f t="shared" si="4"/>
        <v>40116.885485860104</v>
      </c>
      <c r="M48" s="108">
        <f t="shared" si="4"/>
        <v>41320.392050435905</v>
      </c>
      <c r="N48" s="108">
        <f>SUM( $I$48:$M$48)</f>
        <v>194912.35534460953</v>
      </c>
      <c r="O48" s="108"/>
      <c r="P48" s="109"/>
      <c r="Q48" s="109"/>
    </row>
    <row r="49" spans="1:17">
      <c r="B49" s="40"/>
      <c r="C49" s="40" t="s">
        <v>77</v>
      </c>
      <c r="D49" s="40"/>
      <c r="E49" s="41"/>
      <c r="F49" s="41"/>
      <c r="G49" s="80"/>
      <c r="H49" s="40">
        <f t="shared" ref="H49:M49" si="5">H4*H48</f>
        <v>0</v>
      </c>
      <c r="I49" s="40">
        <f t="shared" si="5"/>
        <v>17438.500528190732</v>
      </c>
      <c r="J49" s="40">
        <f t="shared" si="5"/>
        <v>17961.655544036457</v>
      </c>
      <c r="K49" s="40">
        <f t="shared" si="5"/>
        <v>18500.505210357551</v>
      </c>
      <c r="L49" s="40">
        <f t="shared" si="5"/>
        <v>19055.520366668279</v>
      </c>
      <c r="M49" s="40">
        <f t="shared" si="5"/>
        <v>19627.185977668327</v>
      </c>
      <c r="N49" s="40">
        <f>SUM( $I$49:$M$49)</f>
        <v>92583.367626921347</v>
      </c>
      <c r="O49" s="40"/>
      <c r="P49" s="42"/>
      <c r="Q49" s="42"/>
    </row>
    <row r="50" spans="1:17">
      <c r="B50" s="48"/>
      <c r="C50" s="48"/>
      <c r="D50" s="48" t="s">
        <v>193</v>
      </c>
      <c r="E50" s="49"/>
      <c r="F50" s="49"/>
      <c r="G50" s="48"/>
      <c r="H50" s="48">
        <f t="shared" ref="H50:M50" si="6">SUM(H49+H47)</f>
        <v>0</v>
      </c>
      <c r="I50" s="48">
        <f t="shared" si="6"/>
        <v>54151.133679801424</v>
      </c>
      <c r="J50" s="48">
        <f t="shared" si="6"/>
        <v>55775.667690195478</v>
      </c>
      <c r="K50" s="48">
        <f t="shared" si="6"/>
        <v>57448.93772090134</v>
      </c>
      <c r="L50" s="48">
        <f t="shared" si="6"/>
        <v>59172.405852528384</v>
      </c>
      <c r="M50" s="48">
        <f t="shared" si="6"/>
        <v>60947.578028104232</v>
      </c>
      <c r="N50" s="48">
        <f>SUM( $I$50:$M$50)</f>
        <v>287495.72297153086</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54151.133679801424</v>
      </c>
      <c r="J53" s="48">
        <f>SUM(J50:J52)</f>
        <v>55775.667690195478</v>
      </c>
      <c r="K53" s="48">
        <f>SUM(K50:K52)</f>
        <v>57448.93772090134</v>
      </c>
      <c r="L53" s="48">
        <f>SUM(L50:L52)</f>
        <v>59172.405852528384</v>
      </c>
      <c r="M53" s="48">
        <f>SUM(M50:M52)</f>
        <v>60947.578028104232</v>
      </c>
      <c r="N53" s="48">
        <f>SUM( I53:M53)</f>
        <v>287495.72297153086</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2014-02-18T17:53:22Z</dcterms:modified>
</cp:coreProperties>
</file>