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7A2D7E96-6E34-419A-AE5F-296B3A7E7977}"/>
  <workbookPr codeName="ThisWorkbook" autoCompressPictures="0"/>
  <bookViews>
    <workbookView xWindow="0" yWindow="0" windowWidth="51120" windowHeight="2836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I12" i="12"/>
  <c r="J12" i="12"/>
  <c r="K12" i="12"/>
  <c r="L12" i="12"/>
  <c r="L21"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I22" i="12"/>
  <c r="J22" i="12"/>
  <c r="J23" i="12"/>
  <c r="H18" i="12"/>
  <c r="B18" i="12"/>
  <c r="I18" i="12"/>
  <c r="H17" i="12"/>
  <c r="B17" i="12"/>
  <c r="H16" i="12"/>
  <c r="B16" i="12"/>
  <c r="I16" i="12"/>
  <c r="H15" i="12"/>
  <c r="B15" i="12"/>
  <c r="I15" i="12"/>
  <c r="H14" i="12"/>
  <c r="B14" i="12"/>
  <c r="H13" i="12"/>
  <c r="B13" i="12"/>
  <c r="B12"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M21"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<sst xmlns="http://schemas.openxmlformats.org/spreadsheetml/2006/main" count="558" uniqueCount="200">
  <si>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</si>
  <si>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</si>
  <si>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</si>
  <si>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</si>
  <si>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</si>
  <si>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</si>
  <si>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</si>
  <si>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</si>
  <si>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</si>
  <si>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</si>
  <si>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</si>
  <si>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</si>
  <si>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</si>
  <si>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</si>
  <si>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</si>
  <si>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</si>
  <si>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</si>
  <si>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</si>
  <si>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</si>
  <si>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</si>
  <si>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</si>
  <si>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</si>
  <si>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</si>
  <si>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</si>
  <si>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</si>
  <si>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</si>
  <si>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</si>
  <si>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</si>
  <si>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</si>
  <si>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</si>
  <si>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</si>
  <si>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</si>
  <si>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</si>
  <si>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</si>
  <si>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</si>
  <si>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</si>
  <si>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</si>
  <si>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</si>
  <si>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</si>
  <si>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</si>
  <si>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</si>
  <si>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</si>
  <si>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</si>
  <si>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</si>
  <si>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</si>
  <si>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</si>
  <si>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</si>
  <si>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</si>
  <si>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</si>
  <si>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</si>
  <si>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</si>
  <si>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</si>
  <si>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</si>
  <si>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</si>
  <si>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</si>
  <si>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</si>
  <si>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</si>
  <si>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</si>
  <si>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</si>
  <si>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</si>
  <si>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</si>
  <si>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</si>
  <si>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</si>
  <si>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</si>
  <si>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</si>
  <si>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</si>
  <si>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</si>
  <si>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</si>
  <si>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</si>
  <si>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</si>
  <si>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</si>
  <si>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</si>
  <si>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</si>
  <si>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</si>
  <si>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</si>
  <si>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</si>
  <si>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</si>
  <si>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</si>
  <si>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</si>
  <si>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</si>
  <si>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</si>
  <si>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</si>
  <si>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</si>
  <si>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</si>
  <si>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</si>
  <si>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</si>
  <si>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</si>
  <si>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</si>
  <si>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</si>
  <si>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</si>
  <si>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</si>
  <si>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</si>
  <si>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</si>
  <si>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</si>
  <si>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</si>
  <si>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</si>
  <si>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</si>
  <si>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</si>
  <si>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</si>
  <si>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</si>
  <si>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</si>
  <si>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</si>
  <si>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</si>
  <si>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</si>
  <si>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</si>
  <si>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</si>
  <si>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</si>
  <si>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</si>
  <si>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</si>
  <si>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</si>
  <si>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</si>
  <si>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</si>
  <si>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</si>
  <si>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</si>
  <si>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</si>
  <si>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</si>
  <si>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</si>
  <si>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</si>
  <si>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</si>
  <si>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</si>
  <si>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</si>
  <si>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</si>
  <si>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</si>
  <si>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</si>
  <si>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</si>
  <si>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</si>
  <si>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</si>
  <si>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</si>
  <si>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</si>
  <si>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</si>
  <si>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</si>
  <si>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</si>
  <si>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</si>
  <si>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</si>
  <si>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</si>
  <si>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</si>
  <si>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</si>
  <si>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</si>
  <si>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</si>
  <si>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</si>
  <si>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</si>
  <si>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</si>
  <si>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</si>
  <si>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</si>
  <si>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</si>
  <si>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</si>
  <si>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</si>
  <si>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</si>
  <si>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</si>
  <si>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</si>
  <si>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</si>
  <si>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</si>
  <si>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</si>
  <si>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</si>
  <si>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</si>
  <si>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</si>
  <si>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</si>
  <si>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</si>
  <si>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</si>
  <si>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</si>
  <si>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</si>
  <si>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</si>
  <si>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</si>
  <si>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</si>
  <si>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</si>
  <si>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</si>
  <si>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</si>
  <si>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</si>
  <si>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</si>
  <si>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</si>
  <si>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</si>
  <si>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</si>
  <si>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</si>
  <si>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</si>
  <si>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</si>
  <si>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</si>
  <si>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</si>
  <si>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</si>
  <si>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</si>
  <si>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</si>
  <si>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</si>
  <si>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</si>
  <si>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</si>
  <si>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</si>
  <si>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</si>
  <si>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</si>
  <si>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</si>
  <si>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</si>
  <si>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</si>
  <si>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</si>
  <si>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</si>
  <si>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</si>
  <si>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</si>
  <si>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</si>
  <si>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</si>
  <si>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</si>
  <si>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</si>
  <si>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</si>
  <si>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</si>
  <si>
    <t xml:space="preserve">animal care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</si>
</sst>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A6" zoomScale="150" zoomScaleNormal="150" zoomScalePageLayoutView="150" workbookViewId="0">
      <selection activeCell="K37" sqref="K37"/>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0</v>
      </c>
      <c r="J21" s="32">
        <v>0</v>
      </c>
      <c r="K21" s="32">
        <v>0</v>
      </c>
      <c r="L21" s="32">
        <f>K21*(1+L$8)</f>
        <v>0</v>
      </c>
      <c r="M21" s="32">
        <f>L21*(1+M$8)</f>
        <v>0</v>
      </c>
      <c r="N21" s="71">
        <f>SUM( $I$21:$M$21)</f>
        <v>0</v>
      </c>
      <c r="P21" s="72" t="s">
        <v>102</v>
      </c>
      <c r="Q21" s="72" t="s">
        <v>103</v>
      </c>
      <c r="R21" s="160"/>
    </row>
    <row r="22" spans="1:18" s="71" customFormat="1">
      <c r="A22" s="73"/>
      <c r="B22" s="73"/>
      <c r="C22" s="74"/>
      <c r="D22" s="70" t="s">
        <v>145</v>
      </c>
      <c r="H22" s="75">
        <v>0</v>
      </c>
      <c r="I22" s="32">
        <f t="shared" ref="I22:M28" si="2">H22*(1+I$8)</f>
        <v>0</v>
      </c>
      <c r="J22" s="32">
        <f t="shared" si="2"/>
        <v>0</v>
      </c>
      <c r="K22" s="32">
        <f t="shared" si="2"/>
        <v>0</v>
      </c>
      <c r="L22" s="32">
        <f t="shared" si="2"/>
        <v>0</v>
      </c>
      <c r="M22" s="32">
        <f t="shared" si="2"/>
        <v>0</v>
      </c>
      <c r="N22" s="71">
        <f>SUM( $I$22:$M$22)</f>
        <v>0</v>
      </c>
      <c r="P22" s="72" t="s">
        <v>102</v>
      </c>
      <c r="Q22" s="72" t="s">
        <v>88</v>
      </c>
      <c r="R22" s="160"/>
    </row>
    <row r="23" spans="1:18" s="71" customFormat="1">
      <c r="A23" s="76"/>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c r="R23" s="161"/>
    </row>
    <row r="24" spans="1:18" s="71" customFormat="1">
      <c r="A24" s="73"/>
      <c r="B24" s="73"/>
      <c r="C24" s="74"/>
      <c r="D24" s="70" t="s">
        <v>66</v>
      </c>
      <c r="G24" s="75" t="s">
        <v>16</v>
      </c>
      <c r="H24" s="75">
        <v>0</v>
      </c>
      <c r="I24" s="32">
        <v>39264</v>
      </c>
      <c r="J24" s="32">
        <v>41364</v>
      </c>
      <c r="K24" s="32">
        <v>44340</v>
      </c>
      <c r="L24" s="32">
        <v>0</v>
      </c>
      <c r="M24" s="32">
        <v>0</v>
      </c>
      <c r="N24" s="71">
        <f>SUM( $I$24:$M$24)</f>
        <v>124968</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64670.666666666672</v>
      </c>
      <c r="J29" s="48">
        <f>SUM(J24:J28)+J23+J19</f>
        <v>67532.866666666669</v>
      </c>
      <c r="K29" s="48">
        <f>SUM(K24:K28)+K23+K19</f>
        <v>71293.932666666675</v>
      </c>
      <c r="L29" s="48">
        <f>SUM(L24:L28)+L23+L19</f>
        <v>27762.55064666667</v>
      </c>
      <c r="M29" s="48">
        <f>SUM(M24:M28)+M23+M19</f>
        <v>28595.427166066671</v>
      </c>
      <c r="N29" s="48">
        <f>SUM( $I$29:$M$29)</f>
        <v>259855.44381273334</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14359.121505826712</v>
      </c>
      <c r="J30" s="71">
        <f>(SUMIF($Q10:$Q28,"FF",J10:J28)*J5) + (SUMIF($Q10:$Q28,"PF",J10:J28)*J6) + (SUMIF($Q10:$Q28,"PD",J10:J28)*J7)</f>
        <v>15077.58411693722</v>
      </c>
      <c r="K30" s="71">
        <f>(SUMIF($Q10:$Q28,"FF",K10:K28)*K5) + (SUMIF($Q10:$Q28,"PF",K10:K28)*K6) + (SUMIF($Q10:$Q28,"PD",K10:K28)*K7)</f>
        <v>16071.25661161457</v>
      </c>
      <c r="L30" s="71">
        <f>(SUMIF($Q10:$Q28,"FF",L10:L28)*L5) + (SUMIF($Q10:$Q28,"PF",L10:L28)*L6) + (SUMIF($Q10:$Q28,"PD",L10:L28)*L7)</f>
        <v>2304.2916159701545</v>
      </c>
      <c r="M30" s="71">
        <f>(SUMIF($Q10:$Q28,"FF",M10:M28)*M5) + (SUMIF($Q10:$Q28,"PF",M10:M28)*M6) + (SUMIF($Q10:$Q28,"PD",M10:M28)*M7)</f>
        <v>2373.4203644492591</v>
      </c>
      <c r="N30" s="81">
        <f>SUM( $I$30:$M$30)</f>
        <v>50185.674214797917</v>
      </c>
      <c r="P30" s="42" t="s">
        <v>102</v>
      </c>
    </row>
    <row r="31" spans="1:18" ht="26" customHeight="1">
      <c r="A31" s="47"/>
      <c r="B31" s="47"/>
      <c r="C31" s="48"/>
      <c r="D31" s="66" t="s">
        <v>71</v>
      </c>
      <c r="E31" s="49"/>
      <c r="F31" s="49"/>
      <c r="G31" s="48"/>
      <c r="H31" s="48"/>
      <c r="I31" s="48">
        <f>SUM(I29+I30)</f>
        <v>79029.788172493383</v>
      </c>
      <c r="J31" s="48">
        <f>SUM(J29+J30)</f>
        <v>82610.450783603883</v>
      </c>
      <c r="K31" s="48">
        <f>SUM(K29+K30)</f>
        <v>87365.18927828125</v>
      </c>
      <c r="L31" s="48">
        <f>SUM(L29+L30)</f>
        <v>30066.842262636826</v>
      </c>
      <c r="M31" s="48">
        <f>SUM(M29+M30)</f>
        <v>30968.84753051593</v>
      </c>
      <c r="N31" s="48">
        <f>SUM( $I$31:$M$31)</f>
        <v>310041.11802753125</v>
      </c>
      <c r="O31" s="48"/>
      <c r="P31" s="53"/>
      <c r="Q31" s="53"/>
      <c r="R31" s="157"/>
    </row>
    <row r="32" spans="1:18">
      <c r="A32" s="39" t="s">
        <v>105</v>
      </c>
      <c r="B32" s="39"/>
      <c r="C32" s="40" t="s">
        <v>72</v>
      </c>
      <c r="G32" s="80">
        <v>721100</v>
      </c>
      <c r="H32" s="80">
        <v>0</v>
      </c>
      <c r="I32" s="90">
        <v>0</v>
      </c>
      <c r="J32" s="90">
        <v>0</v>
      </c>
      <c r="K32" s="90">
        <v>0</v>
      </c>
      <c r="L32" s="90">
        <v>0</v>
      </c>
      <c r="M32" s="90">
        <v>0</v>
      </c>
      <c r="N32" s="40">
        <f>SUM( $I$32:$M$32)</f>
        <v>0</v>
      </c>
      <c r="P32" s="42" t="s">
        <v>106</v>
      </c>
    </row>
    <row r="33" spans="1:18">
      <c r="A33" s="39" t="s">
        <v>105</v>
      </c>
      <c r="B33" s="39"/>
      <c r="C33" s="40" t="s">
        <v>73</v>
      </c>
      <c r="G33" s="80">
        <v>740000</v>
      </c>
      <c r="H33" s="80">
        <v>0</v>
      </c>
      <c r="I33" s="90">
        <v>0</v>
      </c>
      <c r="J33" s="90">
        <v>0</v>
      </c>
      <c r="K33" s="90">
        <v>0</v>
      </c>
      <c r="L33" s="90">
        <v>0</v>
      </c>
      <c r="M33" s="90">
        <v>0</v>
      </c>
      <c r="N33" s="40">
        <f>SUM( $I$33:$M$33)</f>
        <v>0</v>
      </c>
      <c r="P33" s="42" t="s">
        <v>106</v>
      </c>
    </row>
    <row r="34" spans="1:18">
      <c r="A34" s="91" t="s">
        <v>105</v>
      </c>
      <c r="B34" s="91"/>
      <c r="C34" s="40" t="s">
        <v>74</v>
      </c>
      <c r="G34" s="80">
        <v>710000</v>
      </c>
      <c r="H34" s="80">
        <v>0</v>
      </c>
      <c r="I34" s="90">
        <v>2000</v>
      </c>
      <c r="J34" s="90">
        <v>2000</v>
      </c>
      <c r="K34" s="90">
        <v>2000</v>
      </c>
      <c r="L34" s="90">
        <v>0</v>
      </c>
      <c r="M34" s="90">
        <v>0</v>
      </c>
      <c r="N34" s="40">
        <f>SUM( $I$34:$M$34)</f>
        <v>6000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30000</v>
      </c>
      <c r="J36" s="90">
        <v>30000</v>
      </c>
      <c r="K36" s="90">
        <v>20000</v>
      </c>
      <c r="L36" s="90">
        <v>0</v>
      </c>
      <c r="M36" s="90">
        <v>0</v>
      </c>
      <c r="N36" s="40">
        <f>SUM( $I$36:$M$36)</f>
        <v>80000</v>
      </c>
      <c r="P36" s="42" t="s">
        <v>102</v>
      </c>
    </row>
    <row r="37" spans="1:18">
      <c r="A37" s="91" t="s">
        <v>105</v>
      </c>
      <c r="B37" s="91"/>
      <c r="D37" s="40" t="s">
        <v>97</v>
      </c>
      <c r="G37" s="80">
        <v>711200</v>
      </c>
      <c r="H37" s="80">
        <v>0</v>
      </c>
      <c r="I37" s="90">
        <v>0</v>
      </c>
      <c r="J37" s="90">
        <v>1500</v>
      </c>
      <c r="K37" s="90">
        <v>3000</v>
      </c>
      <c r="L37" s="90">
        <v>0</v>
      </c>
      <c r="M37" s="90">
        <v>0</v>
      </c>
      <c r="N37" s="40">
        <f>SUM( $I$37:$M$37)</f>
        <v>4500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c r="R43" s="155" t="s">
        <v>199</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111029.78817249338</v>
      </c>
      <c r="J47" s="48">
        <f t="shared" si="3"/>
        <v>116110.45078360388</v>
      </c>
      <c r="K47" s="48">
        <f t="shared" si="3"/>
        <v>112365.18927828125</v>
      </c>
      <c r="L47" s="48">
        <f t="shared" si="3"/>
        <v>30066.842262636826</v>
      </c>
      <c r="M47" s="48">
        <f t="shared" si="3"/>
        <v>30968.84753051593</v>
      </c>
      <c r="N47" s="48">
        <f>SUM( $I$47:$M$47)</f>
        <v>400541.11802753125</v>
      </c>
      <c r="O47" s="48"/>
      <c r="P47" s="53"/>
      <c r="Q47" s="53"/>
      <c r="R47" s="157"/>
    </row>
    <row r="48" spans="1:18" s="108" customFormat="1" ht="15.75" customHeight="1">
      <c r="D48" s="108" t="s">
        <v>11</v>
      </c>
      <c r="E48" s="109"/>
      <c r="F48" s="109"/>
      <c r="H48" s="108">
        <f t="shared" ref="H48:M48" si="4">SUMIF($P$10:$P$46,"Y",H10:H46)</f>
        <v>24666.666666666668</v>
      </c>
      <c r="I48" s="108">
        <f t="shared" si="4"/>
        <v>111029.78817249338</v>
      </c>
      <c r="J48" s="108">
        <f t="shared" si="4"/>
        <v>116110.45078360388</v>
      </c>
      <c r="K48" s="108">
        <f t="shared" si="4"/>
        <v>112365.18927828125</v>
      </c>
      <c r="L48" s="108">
        <f t="shared" si="4"/>
        <v>30066.842262636826</v>
      </c>
      <c r="M48" s="108">
        <f t="shared" si="4"/>
        <v>30968.84753051593</v>
      </c>
      <c r="N48" s="108">
        <f>SUM( $I$48:$M$48)</f>
        <v>400541.11802753125</v>
      </c>
      <c r="P48" s="109"/>
      <c r="Q48" s="109"/>
      <c r="R48" s="162"/>
    </row>
    <row r="49" spans="1:18" ht="27.75" customHeight="1">
      <c r="C49" s="40" t="s">
        <v>77</v>
      </c>
      <c r="G49" s="80"/>
      <c r="H49" s="40">
        <f t="shared" ref="H49:M49" si="5">H4*H48</f>
        <v>0</v>
      </c>
      <c r="I49" s="40">
        <f t="shared" si="5"/>
        <v>52739.148720145247</v>
      </c>
      <c r="J49" s="40">
        <f t="shared" si="5"/>
        <v>55152.463430139629</v>
      </c>
      <c r="K49" s="40">
        <f t="shared" si="5"/>
        <v>53373.464237434877</v>
      </c>
      <c r="L49" s="40">
        <f t="shared" si="5"/>
        <v>14281.749895540148</v>
      </c>
      <c r="M49" s="40">
        <f t="shared" si="5"/>
        <v>14710.202392406351</v>
      </c>
      <c r="N49" s="40">
        <f>SUM( $I$49:$M$49)</f>
        <v>190257.02867566625</v>
      </c>
    </row>
    <row r="50" spans="1:18" ht="32" customHeight="1">
      <c r="A50" s="48"/>
      <c r="B50" s="48"/>
      <c r="C50" s="48"/>
      <c r="D50" s="48" t="s">
        <v>12</v>
      </c>
      <c r="E50" s="49"/>
      <c r="F50" s="49"/>
      <c r="G50" s="48"/>
      <c r="H50" s="48">
        <f t="shared" ref="H50:M50" si="6">SUM(H49+H47)</f>
        <v>0</v>
      </c>
      <c r="I50" s="48">
        <f t="shared" si="6"/>
        <v>163768.93689263862</v>
      </c>
      <c r="J50" s="48">
        <f t="shared" si="6"/>
        <v>171262.91421374353</v>
      </c>
      <c r="K50" s="48">
        <f t="shared" si="6"/>
        <v>165738.65351571614</v>
      </c>
      <c r="L50" s="48">
        <f t="shared" si="6"/>
        <v>44348.592158176973</v>
      </c>
      <c r="M50" s="48">
        <f t="shared" si="6"/>
        <v>45679.049922922277</v>
      </c>
      <c r="N50" s="48">
        <f>SUM( $I$50:$M$50)</f>
        <v>590798.1467031975</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163768.93689263862</v>
      </c>
      <c r="J53" s="48">
        <f t="shared" si="7"/>
        <v>171262.91421374353</v>
      </c>
      <c r="K53" s="48">
        <f t="shared" si="7"/>
        <v>165738.65351571614</v>
      </c>
      <c r="L53" s="48">
        <f t="shared" si="7"/>
        <v>44348.592158176973</v>
      </c>
      <c r="M53" s="48">
        <f t="shared" si="7"/>
        <v>45679.049922922277</v>
      </c>
      <c r="N53" s="48">
        <f>SUM( $I$53:$M$53)</f>
        <v>590798.1467031975</v>
      </c>
      <c r="O53" s="48"/>
      <c r="P53" s="53"/>
      <c r="Q53" s="53"/>
      <c r="R53" s="157"/>
    </row>
    <row r="59" spans="1:18">
      <c r="A59" s="64"/>
      <c r="B59" s="64"/>
      <c r="C59" s="64"/>
      <c r="D59" s="64"/>
    </row>
  </sheetData>
  <sheetProtection algorithmName="SHA-512" hashValue="18f1RXzTMXWTxEkUnPUAWk7mwFFEFDknFRCldrP0FyaXY6591JwiwwgKrn3ZJnjeXV8ypGnPgcf/yes5+pVSPA==" saltValue="esaMdDgBF09+MPdvp0Sy/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algorithmName="SHA-512" hashValue="3naB6Tym/ffCFGUVYtuJf5yHsU2PtOMUiYpHqlfi8SX81Ax4iq9RexPWyF3nqqrjR0luOLmuTQR23eBDv+xfjQ==" saltValue="f9pfUuPtJfsy+K49cwtH7Q==" spinCount="100000"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topLeftCell="A38" workbookViewId="0">
      <selection activeCell="A51" sqref="A51:Q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2014-02-18T12:36:24Z</dcterms:modified>
</cp:coreProperties>
</file>