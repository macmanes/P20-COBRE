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4030" codeName="{7A2D7E96-6E34-419A-AE5F-296B3A7E7977}"/>
  <workbookPr codeName="ThisWorkbook" autoCompressPictures="0"/>
  <bookViews>
    <workbookView xWindow="0" yWindow="0" windowWidth="51120" windowHeight="28360" tabRatio="641" activeTab="1"/>
  </bookViews>
  <sheets>
    <sheet name="Setup" sheetId="9" r:id="rId1"/>
    <sheet name="Sponsor" sheetId="12" r:id="rId2"/>
    <sheet name="SubAwards" sheetId="7" r:id="rId3"/>
    <sheet name="Cost Sharing" sheetId="16" r:id="rId4"/>
    <sheet name="Pgm Income" sheetId="6" r:id="rId5"/>
    <sheet name="Help on Inflation" sheetId="17" r:id="rId6"/>
    <sheet name="Blocks" sheetId="13" r:id="rId7"/>
    <sheet name="Rates" sheetId="15" r:id="rId8"/>
    <sheet name="Data Lookup" sheetId="14" r:id="rId9"/>
    <sheet name="Version Notes" sheetId="18" r:id="rId10"/>
  </sheets>
  <definedNames>
    <definedName name="AppointmentList">'Data Lookup'!$A$30:$A$31</definedName>
    <definedName name="AYFacultyBlock">Blocks!$A$4:$Q$5</definedName>
    <definedName name="BudItemCol">Sponsor!$D:$D</definedName>
    <definedName name="CostShareCopyRange">Sponsor!$B$2:$Q$50</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Sharing'!$53:$53</definedName>
    <definedName name="CYFacultyBlock">Blocks!$A$8:$Q$8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Income'!$J:$J</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Sponsor!$N:$N</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2" i="12" l="1"/>
  <c r="I12" i="12"/>
  <c r="J12" i="12"/>
  <c r="K12" i="12"/>
  <c r="L12" i="12"/>
  <c r="H47" i="6"/>
  <c r="N46" i="6"/>
  <c r="N45" i="6"/>
  <c r="N44" i="6"/>
  <c r="N43" i="6"/>
  <c r="M42" i="6"/>
  <c r="L42" i="6"/>
  <c r="K42" i="6"/>
  <c r="J42" i="6"/>
  <c r="I42" i="6"/>
  <c r="N42" i="6"/>
  <c r="N41" i="6"/>
  <c r="N40" i="6"/>
  <c r="N39" i="6"/>
  <c r="N38" i="6"/>
  <c r="N37" i="6"/>
  <c r="N36" i="6"/>
  <c r="N35" i="6"/>
  <c r="N34" i="6"/>
  <c r="N33" i="6"/>
  <c r="N32" i="6"/>
  <c r="I28" i="6"/>
  <c r="J28" i="6"/>
  <c r="K28" i="6"/>
  <c r="L28" i="6"/>
  <c r="M28" i="6"/>
  <c r="I27" i="6"/>
  <c r="I26" i="6"/>
  <c r="J26" i="6"/>
  <c r="K26" i="6"/>
  <c r="L26" i="6"/>
  <c r="M26" i="6"/>
  <c r="I25" i="6"/>
  <c r="I24" i="6"/>
  <c r="J24" i="6"/>
  <c r="K24" i="6"/>
  <c r="L24" i="6"/>
  <c r="M24" i="6"/>
  <c r="I22" i="6"/>
  <c r="J22" i="6"/>
  <c r="K22" i="6"/>
  <c r="L22" i="6"/>
  <c r="M22" i="6"/>
  <c r="I21" i="6"/>
  <c r="N20" i="6"/>
  <c r="H18" i="6"/>
  <c r="B18" i="6"/>
  <c r="I18" i="6"/>
  <c r="H17" i="6"/>
  <c r="B17" i="6"/>
  <c r="I17" i="6"/>
  <c r="H16" i="6"/>
  <c r="B16" i="6"/>
  <c r="I16" i="6"/>
  <c r="H15" i="6"/>
  <c r="B15" i="6"/>
  <c r="I15" i="6"/>
  <c r="H14" i="6"/>
  <c r="B14" i="6"/>
  <c r="I14" i="6"/>
  <c r="H13" i="6"/>
  <c r="B13" i="6"/>
  <c r="I13" i="6"/>
  <c r="H12" i="6"/>
  <c r="B12" i="6"/>
  <c r="I12" i="6"/>
  <c r="H11" i="6"/>
  <c r="H48" i="6"/>
  <c r="H49" i="6"/>
  <c r="H50" i="6"/>
  <c r="B11" i="6"/>
  <c r="I11" i="6"/>
  <c r="I19" i="6"/>
  <c r="N52" i="16"/>
  <c r="N51" i="16"/>
  <c r="H47" i="16"/>
  <c r="N46" i="16"/>
  <c r="N45" i="16"/>
  <c r="N44" i="16"/>
  <c r="N43" i="16"/>
  <c r="M42" i="16"/>
  <c r="L42" i="16"/>
  <c r="K42" i="16"/>
  <c r="J42" i="16"/>
  <c r="I42" i="16"/>
  <c r="N42" i="16"/>
  <c r="N41" i="16"/>
  <c r="N40" i="16"/>
  <c r="N39" i="16"/>
  <c r="N38" i="16"/>
  <c r="N37" i="16"/>
  <c r="N36" i="16"/>
  <c r="N35" i="16"/>
  <c r="N34" i="16"/>
  <c r="N33" i="16"/>
  <c r="N32" i="16"/>
  <c r="I28" i="16"/>
  <c r="J28" i="16"/>
  <c r="K28" i="16"/>
  <c r="L28" i="16"/>
  <c r="M28" i="16"/>
  <c r="I27" i="16"/>
  <c r="J27" i="16"/>
  <c r="I26" i="16"/>
  <c r="J26" i="16"/>
  <c r="K26" i="16"/>
  <c r="L26" i="16"/>
  <c r="M26" i="16"/>
  <c r="I25" i="16"/>
  <c r="J25" i="16"/>
  <c r="I24" i="16"/>
  <c r="J24" i="16"/>
  <c r="K24" i="16"/>
  <c r="L24" i="16"/>
  <c r="M24" i="16"/>
  <c r="I22" i="16"/>
  <c r="J22" i="16"/>
  <c r="K22" i="16"/>
  <c r="L22" i="16"/>
  <c r="M22" i="16"/>
  <c r="I21" i="16"/>
  <c r="J21" i="16"/>
  <c r="K21" i="16"/>
  <c r="I23" i="16"/>
  <c r="N20" i="16"/>
  <c r="H18" i="16"/>
  <c r="B18" i="16"/>
  <c r="I18" i="16"/>
  <c r="H17" i="16"/>
  <c r="B17" i="16"/>
  <c r="I17" i="16"/>
  <c r="H16" i="16"/>
  <c r="B16" i="16"/>
  <c r="I16" i="16"/>
  <c r="H15" i="16"/>
  <c r="B15" i="16"/>
  <c r="I15" i="16"/>
  <c r="H14" i="16"/>
  <c r="B14" i="16"/>
  <c r="I14" i="16"/>
  <c r="H13" i="16"/>
  <c r="B13" i="16"/>
  <c r="I13" i="16"/>
  <c r="H12" i="16"/>
  <c r="B12" i="16"/>
  <c r="I12" i="16"/>
  <c r="H11" i="16"/>
  <c r="B11" i="16"/>
  <c r="I11" i="16"/>
  <c r="H48" i="16"/>
  <c r="H49" i="16"/>
  <c r="H50" i="16"/>
  <c r="I13" i="13"/>
  <c r="J13" i="13"/>
  <c r="K13" i="13"/>
  <c r="L13" i="13"/>
  <c r="M13" i="13"/>
  <c r="N13" i="13"/>
  <c r="N12" i="13"/>
  <c r="N11" i="13"/>
  <c r="G31" i="7"/>
  <c r="G30" i="7"/>
  <c r="B27" i="7"/>
  <c r="C27" i="7"/>
  <c r="D27" i="7"/>
  <c r="E27" i="7"/>
  <c r="F27" i="7"/>
  <c r="G27" i="7"/>
  <c r="G26" i="7"/>
  <c r="G25" i="7"/>
  <c r="G24" i="7"/>
  <c r="G23" i="7"/>
  <c r="G22" i="7"/>
  <c r="G21" i="7"/>
  <c r="G20" i="7"/>
  <c r="G19" i="7"/>
  <c r="G18" i="7"/>
  <c r="G17" i="7"/>
  <c r="B14" i="7"/>
  <c r="C14" i="7"/>
  <c r="D14" i="7"/>
  <c r="E14" i="7"/>
  <c r="F14" i="7"/>
  <c r="G14" i="7"/>
  <c r="G13" i="7"/>
  <c r="G12" i="7"/>
  <c r="G11" i="7"/>
  <c r="G10" i="7"/>
  <c r="G9" i="7"/>
  <c r="G8" i="7"/>
  <c r="G7" i="7"/>
  <c r="G6" i="7"/>
  <c r="G5" i="7"/>
  <c r="G4" i="7"/>
  <c r="N52" i="12"/>
  <c r="N51" i="12"/>
  <c r="N46" i="12"/>
  <c r="N45" i="12"/>
  <c r="N44" i="12"/>
  <c r="N43" i="12"/>
  <c r="I42" i="12"/>
  <c r="J42" i="12"/>
  <c r="K42" i="12"/>
  <c r="L42" i="12"/>
  <c r="M42" i="12"/>
  <c r="N42" i="12"/>
  <c r="N41" i="12"/>
  <c r="N40" i="12"/>
  <c r="N39" i="12"/>
  <c r="N38" i="12"/>
  <c r="N37" i="12"/>
  <c r="N36" i="12"/>
  <c r="N35" i="12"/>
  <c r="N34" i="12"/>
  <c r="N33" i="12"/>
  <c r="N32" i="12"/>
  <c r="N20" i="12"/>
  <c r="I28" i="12"/>
  <c r="J28" i="12"/>
  <c r="K28" i="12"/>
  <c r="L28" i="12"/>
  <c r="M28" i="12"/>
  <c r="I26" i="12"/>
  <c r="J26" i="12"/>
  <c r="K26" i="12"/>
  <c r="L26" i="12"/>
  <c r="M26" i="12"/>
  <c r="I27" i="12"/>
  <c r="J27" i="12"/>
  <c r="K27" i="12"/>
  <c r="L27" i="12"/>
  <c r="M27" i="12"/>
  <c r="I25" i="12"/>
  <c r="J25" i="12"/>
  <c r="I22" i="12"/>
  <c r="J22" i="12"/>
  <c r="J23" i="12"/>
  <c r="H18" i="12"/>
  <c r="B18" i="12"/>
  <c r="I18" i="12"/>
  <c r="H17" i="12"/>
  <c r="B17" i="12"/>
  <c r="H16" i="12"/>
  <c r="B16" i="12"/>
  <c r="I16" i="12"/>
  <c r="H15" i="12"/>
  <c r="B15" i="12"/>
  <c r="I15" i="12"/>
  <c r="H14" i="12"/>
  <c r="B14" i="12"/>
  <c r="H13" i="12"/>
  <c r="B13" i="12"/>
  <c r="B12" i="12"/>
  <c r="H11" i="12"/>
  <c r="B11" i="12"/>
  <c r="A1" i="18"/>
  <c r="A1" i="12"/>
  <c r="I23" i="12"/>
  <c r="H47" i="12"/>
  <c r="H48" i="12"/>
  <c r="H49" i="12"/>
  <c r="H50" i="12"/>
  <c r="H53" i="12"/>
  <c r="A1" i="7"/>
  <c r="G16" i="7"/>
  <c r="A17" i="7"/>
  <c r="A18" i="7"/>
  <c r="A19" i="7"/>
  <c r="A20" i="7"/>
  <c r="A21" i="7"/>
  <c r="A22" i="7"/>
  <c r="A23" i="7"/>
  <c r="A24" i="7"/>
  <c r="A25" i="7"/>
  <c r="A26" i="7"/>
  <c r="A35" i="7"/>
  <c r="G35" i="7"/>
  <c r="A36" i="7"/>
  <c r="G36" i="7"/>
  <c r="A37" i="7"/>
  <c r="G37" i="7"/>
  <c r="A38" i="7"/>
  <c r="G38" i="7"/>
  <c r="A39" i="7"/>
  <c r="G39" i="7"/>
  <c r="A40" i="7"/>
  <c r="G40" i="7"/>
  <c r="A41" i="7"/>
  <c r="G41" i="7"/>
  <c r="A42" i="7"/>
  <c r="G42" i="7"/>
  <c r="A43" i="7"/>
  <c r="G43" i="7"/>
  <c r="A44" i="7"/>
  <c r="G44" i="7"/>
  <c r="B45" i="7"/>
  <c r="G45" i="7"/>
  <c r="A1" i="16"/>
  <c r="A1" i="6"/>
  <c r="A1" i="13"/>
  <c r="B4" i="13"/>
  <c r="H4" i="13"/>
  <c r="I4" i="13"/>
  <c r="N4" i="13"/>
  <c r="B5" i="13"/>
  <c r="H5" i="13"/>
  <c r="B8" i="13"/>
  <c r="H8" i="13"/>
  <c r="A1" i="15"/>
  <c r="A1" i="14"/>
  <c r="I19" i="16"/>
  <c r="I29" i="16"/>
  <c r="J27" i="6"/>
  <c r="K27" i="6"/>
  <c r="L27" i="6"/>
  <c r="M27" i="6"/>
  <c r="N27" i="6"/>
  <c r="N22" i="6"/>
  <c r="I30" i="6"/>
  <c r="I48" i="6"/>
  <c r="N24" i="6"/>
  <c r="N26" i="6"/>
  <c r="N28" i="6"/>
  <c r="J11" i="6"/>
  <c r="J12" i="6"/>
  <c r="K12" i="6"/>
  <c r="L12" i="6"/>
  <c r="M12" i="6"/>
  <c r="J13" i="6"/>
  <c r="K13" i="6"/>
  <c r="L13" i="6"/>
  <c r="M13" i="6"/>
  <c r="J14" i="6"/>
  <c r="K14" i="6"/>
  <c r="L14" i="6"/>
  <c r="M14" i="6"/>
  <c r="J15" i="6"/>
  <c r="K15" i="6"/>
  <c r="L15" i="6"/>
  <c r="M15" i="6"/>
  <c r="J16" i="6"/>
  <c r="K16" i="6"/>
  <c r="L16" i="6"/>
  <c r="M16" i="6"/>
  <c r="J17" i="6"/>
  <c r="K17" i="6"/>
  <c r="L17" i="6"/>
  <c r="M17" i="6"/>
  <c r="J18" i="6"/>
  <c r="K18" i="6"/>
  <c r="L18" i="6"/>
  <c r="M18" i="6"/>
  <c r="I23" i="6"/>
  <c r="J21" i="6"/>
  <c r="J25" i="6"/>
  <c r="K25" i="6"/>
  <c r="L25" i="6"/>
  <c r="M25" i="6"/>
  <c r="J13" i="16"/>
  <c r="K13" i="16"/>
  <c r="L13" i="16"/>
  <c r="M13" i="16"/>
  <c r="N13" i="16"/>
  <c r="L21" i="16"/>
  <c r="K23" i="16"/>
  <c r="J23" i="16"/>
  <c r="K25" i="16"/>
  <c r="L25" i="16"/>
  <c r="M25" i="16"/>
  <c r="K27" i="16"/>
  <c r="L27" i="16"/>
  <c r="M27" i="16"/>
  <c r="I30" i="16"/>
  <c r="I48" i="16"/>
  <c r="N22" i="16"/>
  <c r="N24" i="16"/>
  <c r="N26" i="16"/>
  <c r="N28" i="16"/>
  <c r="J11" i="16"/>
  <c r="J12" i="16"/>
  <c r="K12" i="16"/>
  <c r="L12" i="16"/>
  <c r="M12" i="16"/>
  <c r="J14" i="16"/>
  <c r="K14" i="16"/>
  <c r="L14" i="16"/>
  <c r="M14" i="16"/>
  <c r="J15" i="16"/>
  <c r="K15" i="16"/>
  <c r="L15" i="16"/>
  <c r="M15" i="16"/>
  <c r="J16" i="16"/>
  <c r="K16" i="16"/>
  <c r="L16" i="16"/>
  <c r="M16" i="16"/>
  <c r="J17" i="16"/>
  <c r="K17" i="16"/>
  <c r="L17" i="16"/>
  <c r="M17" i="16"/>
  <c r="J18" i="16"/>
  <c r="K18" i="16"/>
  <c r="L18" i="16"/>
  <c r="M18" i="16"/>
  <c r="N28" i="12"/>
  <c r="N26" i="12"/>
  <c r="N24" i="12"/>
  <c r="K25" i="12"/>
  <c r="L25" i="12"/>
  <c r="M25" i="12"/>
  <c r="K22" i="12"/>
  <c r="L22" i="12"/>
  <c r="M22" i="12"/>
  <c r="N27" i="12"/>
  <c r="J16" i="12"/>
  <c r="K16" i="12"/>
  <c r="L16" i="12"/>
  <c r="M16" i="12"/>
  <c r="J15" i="12"/>
  <c r="K15" i="12"/>
  <c r="L15" i="12"/>
  <c r="M15" i="12"/>
  <c r="J18" i="12"/>
  <c r="I17" i="12"/>
  <c r="I13" i="12"/>
  <c r="I14" i="12"/>
  <c r="I11" i="12"/>
  <c r="I30" i="12"/>
  <c r="I8" i="13"/>
  <c r="N8" i="13"/>
  <c r="I5" i="13"/>
  <c r="N5" i="13"/>
  <c r="K18" i="12"/>
  <c r="L18" i="12"/>
  <c r="M18" i="12"/>
  <c r="N18" i="12"/>
  <c r="N18" i="6"/>
  <c r="N16" i="12"/>
  <c r="N17" i="16"/>
  <c r="N12" i="6"/>
  <c r="N15" i="12"/>
  <c r="J11" i="12"/>
  <c r="K11" i="12"/>
  <c r="L11" i="12"/>
  <c r="M11" i="12"/>
  <c r="N11" i="12"/>
  <c r="I49" i="6"/>
  <c r="J23" i="6"/>
  <c r="K21" i="6"/>
  <c r="N16" i="6"/>
  <c r="K11" i="6"/>
  <c r="J30" i="6"/>
  <c r="J19" i="6"/>
  <c r="N14" i="6"/>
  <c r="N25" i="6"/>
  <c r="N17" i="6"/>
  <c r="I29" i="6"/>
  <c r="N15" i="6"/>
  <c r="N13" i="6"/>
  <c r="I49" i="16"/>
  <c r="K11" i="16"/>
  <c r="J30" i="16"/>
  <c r="J48" i="16"/>
  <c r="J49" i="16"/>
  <c r="J19" i="16"/>
  <c r="M21" i="16"/>
  <c r="M23" i="16"/>
  <c r="L23" i="16"/>
  <c r="I31" i="16"/>
  <c r="J29" i="16"/>
  <c r="N15" i="16"/>
  <c r="N23" i="16"/>
  <c r="N18" i="16"/>
  <c r="N21" i="16"/>
  <c r="N16" i="16"/>
  <c r="N14" i="16"/>
  <c r="N27" i="16"/>
  <c r="N12" i="16"/>
  <c r="N25" i="16"/>
  <c r="N22" i="12"/>
  <c r="K23" i="12"/>
  <c r="N25" i="12"/>
  <c r="J13" i="12"/>
  <c r="J14" i="12"/>
  <c r="K14" i="12"/>
  <c r="L14" i="12"/>
  <c r="M14" i="12"/>
  <c r="J17" i="12"/>
  <c r="K17" i="12"/>
  <c r="L17" i="12"/>
  <c r="M17" i="12"/>
  <c r="I19" i="12"/>
  <c r="I48" i="12"/>
  <c r="N14" i="12"/>
  <c r="J29" i="6"/>
  <c r="J31" i="6"/>
  <c r="J47" i="6"/>
  <c r="N17" i="12"/>
  <c r="I29" i="12"/>
  <c r="J48" i="6"/>
  <c r="L21" i="6"/>
  <c r="K23" i="6"/>
  <c r="I31" i="6"/>
  <c r="K19" i="6"/>
  <c r="K30" i="6"/>
  <c r="L11" i="6"/>
  <c r="J31" i="16"/>
  <c r="J47" i="16"/>
  <c r="J50" i="16"/>
  <c r="J53" i="16"/>
  <c r="K30" i="16"/>
  <c r="K48" i="16"/>
  <c r="K19" i="16"/>
  <c r="K29" i="16"/>
  <c r="L11" i="16"/>
  <c r="I47" i="16"/>
  <c r="L23" i="12"/>
  <c r="M21" i="12"/>
  <c r="I49" i="12"/>
  <c r="J19" i="12"/>
  <c r="J29" i="12"/>
  <c r="M12" i="12"/>
  <c r="J30" i="12"/>
  <c r="K13" i="12"/>
  <c r="I31" i="12"/>
  <c r="I47" i="12"/>
  <c r="N12" i="12"/>
  <c r="K29" i="6"/>
  <c r="L30" i="6"/>
  <c r="L48" i="6"/>
  <c r="L49" i="6"/>
  <c r="L19" i="6"/>
  <c r="M11" i="6"/>
  <c r="M21" i="6"/>
  <c r="M23" i="6"/>
  <c r="L23" i="6"/>
  <c r="J49" i="6"/>
  <c r="I47" i="6"/>
  <c r="K48" i="6"/>
  <c r="K49" i="6"/>
  <c r="K49" i="16"/>
  <c r="L30" i="16"/>
  <c r="L48" i="16"/>
  <c r="L19" i="16"/>
  <c r="M11" i="16"/>
  <c r="N11" i="16"/>
  <c r="K31" i="16"/>
  <c r="I50" i="16"/>
  <c r="I53" i="16"/>
  <c r="N21" i="12"/>
  <c r="M23" i="12"/>
  <c r="J48" i="12"/>
  <c r="K30" i="12"/>
  <c r="K48" i="12"/>
  <c r="K49" i="12"/>
  <c r="L13" i="12"/>
  <c r="K19" i="12"/>
  <c r="J31" i="12"/>
  <c r="J47" i="12"/>
  <c r="I50" i="12"/>
  <c r="L30" i="12"/>
  <c r="L48" i="12"/>
  <c r="L49" i="12"/>
  <c r="M13" i="12"/>
  <c r="K29" i="12"/>
  <c r="L29" i="6"/>
  <c r="L31" i="6"/>
  <c r="L47" i="6"/>
  <c r="L50" i="6"/>
  <c r="N23" i="6"/>
  <c r="J50" i="6"/>
  <c r="M19" i="6"/>
  <c r="M29" i="6"/>
  <c r="M30" i="6"/>
  <c r="N30" i="6"/>
  <c r="K31" i="6"/>
  <c r="I50" i="6"/>
  <c r="N21" i="6"/>
  <c r="N19" i="6"/>
  <c r="N11" i="6"/>
  <c r="L49" i="16"/>
  <c r="M30" i="16"/>
  <c r="N30" i="16"/>
  <c r="M19" i="16"/>
  <c r="M29" i="16"/>
  <c r="K47" i="16"/>
  <c r="L29" i="16"/>
  <c r="N23" i="12"/>
  <c r="J49" i="12"/>
  <c r="J50" i="12"/>
  <c r="J53" i="12"/>
  <c r="I53" i="12"/>
  <c r="L19" i="12"/>
  <c r="L29" i="12"/>
  <c r="K31" i="12"/>
  <c r="K47" i="12"/>
  <c r="K50" i="12"/>
  <c r="K53" i="12"/>
  <c r="L31" i="12"/>
  <c r="L47" i="12"/>
  <c r="L50" i="12"/>
  <c r="L53" i="12"/>
  <c r="N19" i="16"/>
  <c r="M30" i="12"/>
  <c r="N30" i="12"/>
  <c r="N13" i="12"/>
  <c r="M19" i="12"/>
  <c r="M29" i="12"/>
  <c r="M31" i="6"/>
  <c r="M47" i="6"/>
  <c r="K47" i="6"/>
  <c r="M48" i="6"/>
  <c r="N29" i="6"/>
  <c r="M31" i="16"/>
  <c r="M47" i="16"/>
  <c r="K50" i="16"/>
  <c r="K53" i="16"/>
  <c r="L31" i="16"/>
  <c r="N29" i="16"/>
  <c r="M48" i="16"/>
  <c r="N29" i="12"/>
  <c r="M48" i="12"/>
  <c r="M31" i="12"/>
  <c r="N31" i="6"/>
  <c r="N19" i="12"/>
  <c r="M49" i="6"/>
  <c r="N48" i="6"/>
  <c r="K50" i="6"/>
  <c r="N47" i="6"/>
  <c r="M49" i="16"/>
  <c r="N48" i="16"/>
  <c r="L47" i="16"/>
  <c r="N31" i="16"/>
  <c r="M47" i="12"/>
  <c r="N31" i="12"/>
  <c r="M49" i="12"/>
  <c r="N49" i="12"/>
  <c r="N48" i="12"/>
  <c r="M50" i="6"/>
  <c r="N50" i="6"/>
  <c r="N49" i="6"/>
  <c r="N47" i="16"/>
  <c r="L50" i="16"/>
  <c r="L53" i="16"/>
  <c r="M50" i="16"/>
  <c r="M53" i="16"/>
  <c r="N53" i="16"/>
  <c r="N49" i="16"/>
  <c r="M50" i="12"/>
  <c r="N47" i="12"/>
  <c r="N50" i="16"/>
  <c r="M53" i="12"/>
  <c r="N53" i="12"/>
  <c r="N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<sst xmlns="http://schemas.openxmlformats.org/spreadsheetml/2006/main" count="557" uniqueCount="199">
  <si>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</si>
  <si>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</si>
  <si>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</si>
  <si>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</si>
  <si>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</si>
  <si>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</si>
  <si>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</si>
  <si>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</si>
  <si>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</si>
  <si>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</si>
  <si>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</si>
  <si>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</si>
  <si>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</si>
  <si>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</si>
  <si>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</si>
  <si>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</si>
  <si>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</si>
  <si>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</si>
  <si>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</si>
  <si>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</si>
  <si>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</si>
  <si>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</si>
  <si>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</si>
  <si>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</si>
  <si>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</si>
  <si>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</si>
  <si>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</si>
  <si>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</si>
  <si>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</si>
  <si>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</si>
  <si>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</si>
  <si>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</si>
  <si>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</si>
  <si>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</si>
  <si>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</si>
  <si>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</si>
  <si>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</si>
  <si>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</si>
  <si>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</si>
  <si>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</si>
  <si>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</si>
  <si>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</si>
  <si>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</si>
  <si>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</si>
  <si>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</si>
  <si>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</si>
  <si>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</si>
  <si>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</si>
  <si>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</si>
  <si>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</si>
  <si>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</si>
  <si>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</si>
  <si>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</si>
  <si>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</si>
  <si>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</si>
  <si>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</si>
  <si>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</si>
  <si>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</si>
  <si>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</si>
  <si>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</si>
  <si>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</si>
  <si>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</si>
  <si>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</si>
  <si>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</si>
  <si>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</si>
  <si>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</si>
  <si>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</si>
  <si>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</si>
  <si>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</si>
  <si>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</si>
  <si>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</si>
  <si>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</si>
  <si>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</si>
  <si>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</si>
  <si>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</si>
  <si>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</si>
  <si>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</si>
  <si>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</si>
  <si>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</si>
  <si>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</si>
  <si>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</si>
  <si>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</si>
  <si>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</si>
  <si>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</si>
  <si>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</si>
  <si>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</si>
  <si>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</si>
  <si>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</si>
  <si>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</si>
  <si>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</si>
  <si>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</si>
  <si>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</si>
  <si>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</si>
  <si>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</si>
  <si>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</si>
  <si>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</si>
  <si>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</si>
  <si>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</si>
  <si>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</si>
  <si>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</si>
  <si>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</si>
  <si>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</si>
  <si>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</si>
  <si>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</si>
  <si>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</si>
  <si>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</si>
  <si>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</si>
  <si>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</si>
  <si>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</si>
  <si>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</si>
  <si>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</si>
  <si>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</si>
  <si>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</si>
  <si>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</si>
  <si>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</si>
  <si>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</si>
  <si>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</si>
  <si>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</si>
  <si>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</si>
  <si>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</si>
  <si>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</si>
  <si>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</si>
  <si>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</si>
  <si>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</si>
  <si>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</si>
  <si>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</si>
  <si>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</si>
  <si>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</si>
  <si>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</si>
  <si>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</si>
  <si>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</si>
  <si>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</si>
  <si>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</si>
  <si>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</si>
  <si>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</si>
  <si>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</si>
  <si>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</si>
  <si>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</si>
  <si>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</si>
  <si>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</si>
  <si>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</si>
  <si>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</si>
  <si>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</si>
  <si>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</si>
  <si>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</si>
  <si>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</si>
  <si>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</si>
  <si>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</si>
  <si>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</si>
  <si>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</si>
  <si>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</si>
  <si>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</si>
  <si>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</si>
  <si>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</si>
  <si>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</si>
  <si>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</si>
  <si>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</si>
  <si>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</si>
  <si>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</si>
  <si>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</si>
  <si>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</si>
  <si>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</si>
  <si>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</si>
  <si>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</si>
  <si>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</si>
  <si>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</si>
  <si>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</si>
  <si>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</si>
  <si>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</si>
  <si>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</si>
  <si>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</si>
  <si>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</si>
  <si>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</si>
  <si>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</si>
  <si>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</si>
  <si>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</si>
  <si>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</si>
  <si>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</si>
  <si>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</si>
  <si>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</si>
  <si>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</si>
  <si>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</si>
  <si>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Kelley Thomas</t>
  </si>
  <si>
    <t>Research On-Campus (URESON)</t>
  </si>
  <si>
    <t>Std Modified Total Direct Cost (MTDC)</t>
  </si>
  <si>
    <t>CoPI 1</t>
  </si>
  <si>
    <t>CoPI 2</t>
  </si>
  <si>
    <t>CoPI 3</t>
  </si>
  <si>
    <t>CoPI 4</t>
  </si>
  <si>
    <t>Period 2</t>
  </si>
  <si>
    <t>Period 3</t>
  </si>
  <si>
    <t>Period 4</t>
  </si>
  <si>
    <t>Period 5</t>
  </si>
  <si>
    <t>Total DC and IDC Cost-Sharing</t>
  </si>
  <si>
    <t>Total Program Income</t>
  </si>
  <si>
    <t>NIH COBRE - Research Project</t>
  </si>
  <si>
    <t>Dehydration</t>
  </si>
  <si>
    <t>Matthew MacManes</t>
  </si>
  <si>
    <t>CoPI2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</si>
</sst>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0">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7">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73">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11" fillId="3" borderId="0" xfId="0" applyFont="1" applyFill="1" applyProtection="1"/>
  </cellXfs>
  <cellStyles count="7">
    <cellStyle name="Comma" xfId="1" builtinId="3"/>
    <cellStyle name="Followed Hyperlink" xfId="6" builtinId="9" hidden="1"/>
    <cellStyle name="Hyperlink" xfId="5"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114300</xdr:rowOff>
        </xdr:from>
        <xdr:to>
          <xdr:col>3</xdr:col>
          <xdr:colOff>876300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50800</xdr:rowOff>
        </xdr:from>
        <xdr:to>
          <xdr:col>0</xdr:col>
          <xdr:colOff>1346200</xdr:colOff>
          <xdr:row>14</xdr:row>
          <xdr:rowOff>304800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63500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3.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179</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182</v>
      </c>
    </row>
    <row r="8" spans="1:2">
      <c r="A8" s="95" t="s">
        <v>42</v>
      </c>
      <c r="B8" s="100" t="s">
        <v>44</v>
      </c>
    </row>
    <row r="9" spans="1:2">
      <c r="A9" s="94" t="s">
        <v>47</v>
      </c>
    </row>
    <row r="10" spans="1:2">
      <c r="A10" s="95" t="s">
        <v>36</v>
      </c>
      <c r="B10" s="102" t="s">
        <v>183</v>
      </c>
    </row>
    <row r="11" spans="1:2">
      <c r="A11" s="114" t="s">
        <v>55</v>
      </c>
      <c r="B11" s="103"/>
    </row>
    <row r="12" spans="1:2">
      <c r="A12" s="95" t="s">
        <v>48</v>
      </c>
      <c r="B12" s="102" t="s">
        <v>184</v>
      </c>
    </row>
    <row r="13" spans="1:2" ht="24">
      <c r="A13" s="94" t="s">
        <v>158</v>
      </c>
      <c r="B13" s="104">
        <v>0.03</v>
      </c>
    </row>
    <row r="15" spans="1:2">
      <c r="A15" s="94" t="s">
        <v>41</v>
      </c>
    </row>
    <row r="16" spans="1:2">
      <c r="A16" s="95" t="s">
        <v>54</v>
      </c>
      <c r="B16" s="101">
        <v>41974</v>
      </c>
    </row>
    <row r="17" spans="1:7" ht="23" customHeight="1">
      <c r="A17" s="95" t="s">
        <v>148</v>
      </c>
      <c r="B17" s="100">
        <v>5</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72"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9"/>
  <sheetViews>
    <sheetView tabSelected="1" topLeftCell="A6" zoomScale="150" zoomScaleNormal="150" zoomScalePageLayoutView="150" workbookViewId="0">
      <selection activeCell="M26" sqref="M26"/>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4" width="11" style="40" customWidth="1"/>
    <col min="15" max="15" width="1.5703125" style="40" customWidth="1"/>
    <col min="16" max="16" width="4.5703125" style="42" customWidth="1"/>
    <col min="17" max="17" width="4.140625" style="42" customWidth="1"/>
    <col min="18" max="18" width="33" style="155" customWidth="1"/>
    <col min="19" max="16384" width="11" style="40"/>
  </cols>
  <sheetData>
    <row r="1" spans="1:18" ht="12" customHeight="1">
      <c r="A1" s="39" t="str">
        <f>VersionNo</f>
        <v>PropBud v1.12</v>
      </c>
      <c r="B1" s="39"/>
      <c r="C1" s="39"/>
      <c r="D1" s="40" t="s">
        <v>195</v>
      </c>
      <c r="I1" s="40" t="s">
        <v>196</v>
      </c>
    </row>
    <row r="2" spans="1:18" s="46" customFormat="1" ht="11">
      <c r="A2" s="43"/>
      <c r="B2" s="43"/>
      <c r="C2" s="43"/>
      <c r="D2" s="43"/>
      <c r="E2" s="44"/>
      <c r="F2" s="44"/>
      <c r="G2" s="45" t="s">
        <v>116</v>
      </c>
      <c r="H2" s="45"/>
      <c r="I2" s="43">
        <v>41974</v>
      </c>
      <c r="J2" s="43">
        <v>42339</v>
      </c>
      <c r="K2" s="43">
        <v>42705</v>
      </c>
      <c r="L2" s="43">
        <v>43070</v>
      </c>
      <c r="M2" s="43">
        <v>43435</v>
      </c>
      <c r="N2" s="43"/>
      <c r="O2" s="43"/>
      <c r="P2" s="44"/>
      <c r="Q2" s="44"/>
      <c r="R2" s="156"/>
    </row>
    <row r="3" spans="1:18" s="46" customFormat="1" ht="17" customHeight="1">
      <c r="A3" s="112" t="s">
        <v>113</v>
      </c>
      <c r="B3" s="43"/>
      <c r="C3" s="43"/>
      <c r="D3" s="43"/>
      <c r="E3" s="44"/>
      <c r="F3" s="111" t="s">
        <v>112</v>
      </c>
      <c r="G3" s="45"/>
      <c r="H3" s="45"/>
      <c r="I3" s="43"/>
      <c r="J3" s="43"/>
      <c r="K3" s="43"/>
      <c r="L3" s="43"/>
      <c r="M3" s="43"/>
      <c r="N3" s="43"/>
      <c r="O3" s="43"/>
      <c r="P3" s="44"/>
      <c r="Q3" s="44"/>
      <c r="R3" s="156"/>
    </row>
    <row r="4" spans="1:18">
      <c r="A4" s="112"/>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c r="R4" s="157"/>
    </row>
    <row r="5" spans="1:18" ht="12.75" customHeight="1">
      <c r="A5" s="113"/>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c r="R5" s="157"/>
    </row>
    <row r="6" spans="1:18" ht="12" customHeight="1">
      <c r="A6" s="113"/>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c r="R6" s="157"/>
    </row>
    <row r="7" spans="1:18" ht="12" customHeight="1">
      <c r="A7" s="113"/>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c r="R7" s="157"/>
    </row>
    <row r="8" spans="1:18" ht="20" customHeight="1">
      <c r="A8" s="54" t="s">
        <v>39</v>
      </c>
      <c r="B8" s="55"/>
      <c r="C8" s="48"/>
      <c r="D8" s="110"/>
      <c r="E8" s="49"/>
      <c r="F8" s="49"/>
      <c r="G8" s="51" t="s">
        <v>151</v>
      </c>
      <c r="H8" s="51"/>
      <c r="I8" s="52"/>
      <c r="J8" s="52">
        <v>2.9999999329447746E-2</v>
      </c>
      <c r="K8" s="52">
        <v>2.9999999329447746E-2</v>
      </c>
      <c r="L8" s="52">
        <v>2.9999999329447746E-2</v>
      </c>
      <c r="M8" s="52">
        <v>2.9999999329447746E-2</v>
      </c>
      <c r="N8" s="48"/>
      <c r="O8" s="48"/>
      <c r="P8" s="53"/>
      <c r="Q8" s="53"/>
      <c r="R8" s="158"/>
    </row>
    <row r="9" spans="1:18" ht="22">
      <c r="A9" s="56" t="s">
        <v>142</v>
      </c>
      <c r="B9" s="56" t="s">
        <v>143</v>
      </c>
      <c r="I9" s="57" t="s">
        <v>100</v>
      </c>
      <c r="J9" s="57" t="s">
        <v>189</v>
      </c>
      <c r="K9" s="57" t="s">
        <v>190</v>
      </c>
      <c r="L9" s="57" t="s">
        <v>191</v>
      </c>
      <c r="M9" s="57" t="s">
        <v>192</v>
      </c>
      <c r="N9" s="57" t="s">
        <v>59</v>
      </c>
      <c r="O9" s="58"/>
      <c r="P9" s="59" t="s">
        <v>101</v>
      </c>
      <c r="Q9" s="59" t="s">
        <v>87</v>
      </c>
      <c r="R9" s="159" t="s">
        <v>163</v>
      </c>
    </row>
    <row r="10" spans="1:18">
      <c r="A10" s="60" t="s">
        <v>110</v>
      </c>
      <c r="B10" s="38">
        <v>0.03</v>
      </c>
      <c r="C10" s="61" t="s">
        <v>60</v>
      </c>
      <c r="D10" s="62"/>
      <c r="E10" s="57" t="s">
        <v>46</v>
      </c>
      <c r="F10" s="57" t="s">
        <v>144</v>
      </c>
      <c r="G10" s="63"/>
      <c r="H10" s="62"/>
      <c r="I10" s="64"/>
      <c r="J10" s="64"/>
      <c r="K10" s="64"/>
      <c r="L10" s="64"/>
      <c r="M10" s="64"/>
      <c r="N10" s="64"/>
      <c r="P10" s="65"/>
    </row>
    <row r="11" spans="1:18">
      <c r="A11" s="6" t="s">
        <v>110</v>
      </c>
      <c r="B11" s="38">
        <f t="shared" ref="B11:B18" si="0">FacInflationPct</f>
        <v>0.03</v>
      </c>
      <c r="C11" s="3"/>
      <c r="D11" s="90" t="s">
        <v>197</v>
      </c>
      <c r="E11" s="89">
        <v>74000</v>
      </c>
      <c r="F11" s="33">
        <v>3</v>
      </c>
      <c r="G11" s="24" t="s">
        <v>61</v>
      </c>
      <c r="H11" s="7">
        <f>$E11/9*$F11</f>
        <v>24666.666666666668</v>
      </c>
      <c r="I11" s="90">
        <f t="shared" ref="I11:M18" si="1">H11*(1+$B11)</f>
        <v>25406.666666666668</v>
      </c>
      <c r="J11" s="90">
        <f t="shared" si="1"/>
        <v>26168.866666666669</v>
      </c>
      <c r="K11" s="90">
        <f t="shared" si="1"/>
        <v>26953.932666666671</v>
      </c>
      <c r="L11" s="90">
        <f t="shared" si="1"/>
        <v>27762.55064666667</v>
      </c>
      <c r="M11" s="90">
        <f t="shared" si="1"/>
        <v>28595.427166066671</v>
      </c>
      <c r="N11" s="7">
        <f>SUM( $I$11:$M$11)</f>
        <v>134887.44381273334</v>
      </c>
      <c r="O11" s="7"/>
      <c r="P11" s="29" t="s">
        <v>102</v>
      </c>
      <c r="Q11" s="29" t="s">
        <v>89</v>
      </c>
    </row>
    <row r="12" spans="1:18">
      <c r="A12" s="6" t="s">
        <v>110</v>
      </c>
      <c r="B12" s="38">
        <f t="shared" si="0"/>
        <v>0.03</v>
      </c>
      <c r="C12" s="3"/>
      <c r="D12" s="34"/>
      <c r="E12" s="154"/>
      <c r="F12" s="33">
        <v>3</v>
      </c>
      <c r="G12" s="24" t="s">
        <v>62</v>
      </c>
      <c r="H12" s="7">
        <f>$E11/9*$F12</f>
        <v>24666.666666666668</v>
      </c>
      <c r="I12" s="90">
        <f t="shared" si="1"/>
        <v>25406.666666666668</v>
      </c>
      <c r="J12" s="90">
        <f t="shared" si="1"/>
        <v>26168.866666666669</v>
      </c>
      <c r="K12" s="90">
        <f t="shared" si="1"/>
        <v>26953.932666666671</v>
      </c>
      <c r="L12" s="90">
        <f t="shared" si="1"/>
        <v>27762.55064666667</v>
      </c>
      <c r="M12" s="90">
        <f t="shared" si="1"/>
        <v>28595.427166066671</v>
      </c>
      <c r="N12" s="8">
        <f>SUM( $I$12:$M$12)</f>
        <v>134887.44381273334</v>
      </c>
      <c r="O12" s="8"/>
      <c r="P12" s="29" t="s">
        <v>102</v>
      </c>
      <c r="Q12" s="29" t="s">
        <v>88</v>
      </c>
    </row>
    <row r="13" spans="1:18">
      <c r="A13" s="6" t="s">
        <v>110</v>
      </c>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8">
      <c r="A14" s="6" t="s">
        <v>110</v>
      </c>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8">
      <c r="A15" s="6" t="s">
        <v>110</v>
      </c>
      <c r="B15" s="38">
        <f t="shared" si="0"/>
        <v>0.03</v>
      </c>
      <c r="C15" s="3"/>
      <c r="D15" s="90" t="s">
        <v>198</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8">
      <c r="A16" s="6" t="s">
        <v>110</v>
      </c>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1:18">
      <c r="A17" s="6" t="s">
        <v>110</v>
      </c>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1:18">
      <c r="A18" s="6" t="s">
        <v>110</v>
      </c>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1:18">
      <c r="A19" s="47"/>
      <c r="B19" s="93"/>
      <c r="C19" s="48"/>
      <c r="D19" s="66" t="s">
        <v>63</v>
      </c>
      <c r="E19" s="67"/>
      <c r="F19" s="67"/>
      <c r="G19" s="68"/>
      <c r="H19" s="68"/>
      <c r="I19" s="48">
        <f>SUM( I11:I18)</f>
        <v>50813.333333333336</v>
      </c>
      <c r="J19" s="48">
        <f>SUM( J11:J18)</f>
        <v>52337.733333333337</v>
      </c>
      <c r="K19" s="48">
        <f>SUM( K11:K18)</f>
        <v>53907.865333333342</v>
      </c>
      <c r="L19" s="48">
        <f>SUM( L11:L18)</f>
        <v>55525.10129333334</v>
      </c>
      <c r="M19" s="48">
        <f>SUM( M11:M18)</f>
        <v>57190.854332133342</v>
      </c>
      <c r="N19" s="48">
        <f>SUM( $I$19:$M$19)</f>
        <v>269774.88762546668</v>
      </c>
      <c r="O19" s="48"/>
      <c r="P19" s="53"/>
      <c r="Q19" s="53"/>
      <c r="R19" s="157"/>
    </row>
    <row r="20" spans="1:18" s="71" customFormat="1">
      <c r="A20" s="69" t="s">
        <v>108</v>
      </c>
      <c r="B20" s="69"/>
      <c r="C20" s="70" t="s">
        <v>64</v>
      </c>
      <c r="D20" s="40"/>
      <c r="E20" s="41"/>
      <c r="F20" s="41"/>
      <c r="G20" s="40"/>
      <c r="H20" s="40"/>
      <c r="N20" s="71">
        <f>SUM( $I$20:$M$20)</f>
        <v>0</v>
      </c>
      <c r="P20" s="72"/>
      <c r="Q20" s="72"/>
      <c r="R20" s="160"/>
    </row>
    <row r="21" spans="1:18" s="71" customFormat="1">
      <c r="A21" s="73"/>
      <c r="B21" s="73"/>
      <c r="C21" s="74"/>
      <c r="D21" s="70" t="s">
        <v>65</v>
      </c>
      <c r="G21" s="75"/>
      <c r="H21" s="75">
        <v>0</v>
      </c>
      <c r="I21" s="32">
        <v>17542</v>
      </c>
      <c r="J21" s="32">
        <v>0</v>
      </c>
      <c r="K21" s="32">
        <v>0</v>
      </c>
      <c r="L21" s="32">
        <v>17542</v>
      </c>
      <c r="M21" s="32">
        <f>L21*(1+M$8)</f>
        <v>18068.259988237172</v>
      </c>
      <c r="N21" s="71">
        <f>SUM( $I$21:$M$21)</f>
        <v>53152.259988237172</v>
      </c>
      <c r="P21" s="72" t="s">
        <v>102</v>
      </c>
      <c r="Q21" s="72" t="s">
        <v>103</v>
      </c>
      <c r="R21" s="160"/>
    </row>
    <row r="22" spans="1:18" s="71" customFormat="1">
      <c r="A22" s="73"/>
      <c r="B22" s="73"/>
      <c r="C22" s="74"/>
      <c r="D22" s="70" t="s">
        <v>145</v>
      </c>
      <c r="H22" s="75">
        <v>0</v>
      </c>
      <c r="I22" s="32">
        <f t="shared" ref="I22:M28" si="2">H22*(1+I$8)</f>
        <v>0</v>
      </c>
      <c r="J22" s="32">
        <f t="shared" si="2"/>
        <v>0</v>
      </c>
      <c r="K22" s="32">
        <f t="shared" si="2"/>
        <v>0</v>
      </c>
      <c r="L22" s="32">
        <f t="shared" si="2"/>
        <v>0</v>
      </c>
      <c r="M22" s="32">
        <f t="shared" si="2"/>
        <v>0</v>
      </c>
      <c r="N22" s="71">
        <f>SUM( $I$22:$M$22)</f>
        <v>0</v>
      </c>
      <c r="P22" s="72" t="s">
        <v>102</v>
      </c>
      <c r="Q22" s="72" t="s">
        <v>88</v>
      </c>
      <c r="R22" s="160"/>
    </row>
    <row r="23" spans="1:18" s="71" customFormat="1">
      <c r="A23" s="76"/>
      <c r="B23" s="76"/>
      <c r="C23" s="77"/>
      <c r="D23" s="66" t="s">
        <v>95</v>
      </c>
      <c r="E23" s="68"/>
      <c r="F23" s="68"/>
      <c r="G23" s="78" t="s">
        <v>15</v>
      </c>
      <c r="H23" s="75">
        <v>0</v>
      </c>
      <c r="I23" s="68">
        <f>SUM(I21:I22)</f>
        <v>17542</v>
      </c>
      <c r="J23" s="68">
        <f>SUM(J21:J22)</f>
        <v>0</v>
      </c>
      <c r="K23" s="68">
        <f>SUM(K21:K22)</f>
        <v>0</v>
      </c>
      <c r="L23" s="68">
        <f>SUM(L21:L22)</f>
        <v>17542</v>
      </c>
      <c r="M23" s="68">
        <f>SUM(M21:M22)</f>
        <v>18068.259988237172</v>
      </c>
      <c r="N23" s="68">
        <f>SUM( $I$23:$M$23)</f>
        <v>53152.259988237172</v>
      </c>
      <c r="O23" s="68"/>
      <c r="P23" s="79"/>
      <c r="Q23" s="79"/>
      <c r="R23" s="161"/>
    </row>
    <row r="24" spans="1:18" s="71" customFormat="1">
      <c r="A24" s="73"/>
      <c r="B24" s="73"/>
      <c r="C24" s="74"/>
      <c r="D24" s="70" t="s">
        <v>66</v>
      </c>
      <c r="G24" s="75" t="s">
        <v>16</v>
      </c>
      <c r="H24" s="75">
        <v>0</v>
      </c>
      <c r="I24" s="32">
        <v>39264</v>
      </c>
      <c r="J24" s="32">
        <v>41364</v>
      </c>
      <c r="K24" s="32">
        <v>44340</v>
      </c>
      <c r="L24" s="32">
        <v>39264</v>
      </c>
      <c r="M24" s="32">
        <v>41364</v>
      </c>
      <c r="N24" s="71">
        <f>SUM( $I$24:$M$24)</f>
        <v>205596</v>
      </c>
      <c r="P24" s="72" t="s">
        <v>102</v>
      </c>
      <c r="Q24" s="72" t="s">
        <v>90</v>
      </c>
      <c r="R24" s="160"/>
    </row>
    <row r="25" spans="1:18" s="71" customFormat="1">
      <c r="A25" s="73"/>
      <c r="B25" s="73"/>
      <c r="C25" s="74"/>
      <c r="D25" s="70" t="s">
        <v>67</v>
      </c>
      <c r="G25" s="75" t="s">
        <v>17</v>
      </c>
      <c r="H25" s="75">
        <v>0</v>
      </c>
      <c r="I25" s="32">
        <f t="shared" si="2"/>
        <v>0</v>
      </c>
      <c r="J25" s="32">
        <f t="shared" si="2"/>
        <v>0</v>
      </c>
      <c r="K25" s="32">
        <f t="shared" si="2"/>
        <v>0</v>
      </c>
      <c r="L25" s="32">
        <f t="shared" si="2"/>
        <v>0</v>
      </c>
      <c r="M25" s="32">
        <f t="shared" si="2"/>
        <v>0</v>
      </c>
      <c r="N25" s="71">
        <f>SUM( $I$25:$M$25)</f>
        <v>0</v>
      </c>
      <c r="P25" s="72" t="s">
        <v>102</v>
      </c>
      <c r="Q25" s="72" t="s">
        <v>89</v>
      </c>
      <c r="R25" s="160"/>
    </row>
    <row r="26" spans="1:18" s="71" customFormat="1">
      <c r="A26" s="73"/>
      <c r="B26" s="73"/>
      <c r="C26" s="74"/>
      <c r="D26" s="70" t="s">
        <v>68</v>
      </c>
      <c r="G26" s="75" t="s">
        <v>19</v>
      </c>
      <c r="H26" s="75">
        <v>0</v>
      </c>
      <c r="I26" s="32">
        <f t="shared" si="2"/>
        <v>0</v>
      </c>
      <c r="J26" s="32">
        <f t="shared" si="2"/>
        <v>0</v>
      </c>
      <c r="K26" s="32">
        <f t="shared" si="2"/>
        <v>0</v>
      </c>
      <c r="L26" s="32">
        <f t="shared" si="2"/>
        <v>0</v>
      </c>
      <c r="M26" s="32">
        <f t="shared" si="2"/>
        <v>0</v>
      </c>
      <c r="N26" s="71">
        <f>SUM( $I$26:$M$26)</f>
        <v>0</v>
      </c>
      <c r="P26" s="72" t="s">
        <v>102</v>
      </c>
      <c r="Q26" s="72" t="s">
        <v>89</v>
      </c>
      <c r="R26" s="160"/>
    </row>
    <row r="27" spans="1:18" s="71" customFormat="1">
      <c r="A27" s="73"/>
      <c r="B27" s="73"/>
      <c r="C27" s="74"/>
      <c r="D27" s="70" t="s">
        <v>146</v>
      </c>
      <c r="G27" s="75" t="s">
        <v>20</v>
      </c>
      <c r="H27" s="75">
        <v>0</v>
      </c>
      <c r="I27" s="32">
        <f t="shared" si="2"/>
        <v>0</v>
      </c>
      <c r="J27" s="32">
        <f t="shared" si="2"/>
        <v>0</v>
      </c>
      <c r="K27" s="32">
        <f t="shared" si="2"/>
        <v>0</v>
      </c>
      <c r="L27" s="32">
        <f t="shared" si="2"/>
        <v>0</v>
      </c>
      <c r="M27" s="32">
        <f t="shared" si="2"/>
        <v>0</v>
      </c>
      <c r="N27" s="71">
        <f>SUM( $I$27:$M$27)</f>
        <v>0</v>
      </c>
      <c r="P27" s="72" t="s">
        <v>102</v>
      </c>
      <c r="Q27" s="72" t="s">
        <v>88</v>
      </c>
      <c r="R27" s="160"/>
    </row>
    <row r="28" spans="1:18">
      <c r="A28" s="73"/>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P28" s="42" t="s">
        <v>102</v>
      </c>
      <c r="Q28" s="42" t="s">
        <v>103</v>
      </c>
    </row>
    <row r="29" spans="1:18">
      <c r="A29" s="47"/>
      <c r="B29" s="47"/>
      <c r="C29" s="48"/>
      <c r="D29" s="66" t="s">
        <v>69</v>
      </c>
      <c r="E29" s="49"/>
      <c r="F29" s="49"/>
      <c r="G29" s="48"/>
      <c r="H29" s="48"/>
      <c r="I29" s="48">
        <f>SUM(I24:I28)+I23+I19</f>
        <v>107619.33333333334</v>
      </c>
      <c r="J29" s="48">
        <f>SUM(J24:J28)+J23+J19</f>
        <v>93701.733333333337</v>
      </c>
      <c r="K29" s="48">
        <f>SUM(K24:K28)+K23+K19</f>
        <v>98247.86533333335</v>
      </c>
      <c r="L29" s="48">
        <f>SUM(L24:L28)+L23+L19</f>
        <v>112331.10129333334</v>
      </c>
      <c r="M29" s="48">
        <f>SUM(M24:M28)+M23+M19</f>
        <v>116623.11432037051</v>
      </c>
      <c r="N29" s="48">
        <f>SUM( $I$29:$M$29)</f>
        <v>528523.14761370386</v>
      </c>
      <c r="O29" s="48"/>
      <c r="P29" s="53"/>
      <c r="Q29" s="53"/>
      <c r="R29" s="157"/>
    </row>
    <row r="30" spans="1:18" ht="21.75" customHeight="1">
      <c r="A30" s="69" t="s">
        <v>104</v>
      </c>
      <c r="B30" s="69"/>
      <c r="C30" s="70" t="s">
        <v>70</v>
      </c>
      <c r="D30" s="71"/>
      <c r="E30" s="71"/>
      <c r="F30" s="71"/>
      <c r="G30" s="80" t="s">
        <v>131</v>
      </c>
      <c r="H30" s="80">
        <v>0</v>
      </c>
      <c r="I30" s="71">
        <f>(SUMIF($Q10:$Q28,"FF",I10:I28)*I5) + (SUMIF($Q10:$Q28,"PF",I10:I28)*I6) + (SUMIF($Q10:$Q28,"PD",I10:I28)*I7)</f>
        <v>25665.087990770739</v>
      </c>
      <c r="J30" s="71">
        <f>(SUMIF($Q10:$Q28,"FF",J10:J28)*J5) + (SUMIF($Q10:$Q28,"PF",J10:J28)*J6) + (SUMIF($Q10:$Q28,"PD",J10:J28)*J7)</f>
        <v>26722.729596429566</v>
      </c>
      <c r="K30" s="71">
        <f>(SUMIF($Q10:$Q28,"FF",K10:K28)*K5) + (SUMIF($Q10:$Q28,"PF",K10:K28)*K6) + (SUMIF($Q10:$Q28,"PD",K10:K28)*K7)</f>
        <v>28065.75645549169</v>
      </c>
      <c r="L30" s="71">
        <f>(SUMIF($Q10:$Q28,"FF",L10:L28)*L5) + (SUMIF($Q10:$Q28,"PF",L10:L28)*L6) + (SUMIF($Q10:$Q28,"PD",L10:L28)*L7)</f>
        <v>26908.994707917798</v>
      </c>
      <c r="M30" s="71">
        <f>(SUMIF($Q10:$Q28,"FF",M10:M28)*M5) + (SUMIF($Q10:$Q28,"PF",M10:M28)*M6) + (SUMIF($Q10:$Q28,"PD",M10:M28)*M7)</f>
        <v>28003.953515091038</v>
      </c>
      <c r="N30" s="81">
        <f>SUM( $I$30:$M$30)</f>
        <v>135366.52226570083</v>
      </c>
      <c r="P30" s="42" t="s">
        <v>102</v>
      </c>
    </row>
    <row r="31" spans="1:18" ht="26" customHeight="1">
      <c r="A31" s="47"/>
      <c r="B31" s="47"/>
      <c r="C31" s="48"/>
      <c r="D31" s="66" t="s">
        <v>71</v>
      </c>
      <c r="E31" s="49"/>
      <c r="F31" s="49"/>
      <c r="G31" s="48"/>
      <c r="H31" s="48"/>
      <c r="I31" s="48">
        <f>SUM(I29+I30)</f>
        <v>133284.42132410407</v>
      </c>
      <c r="J31" s="48">
        <f>SUM(J29+J30)</f>
        <v>120424.4629297629</v>
      </c>
      <c r="K31" s="48">
        <f>SUM(K29+K30)</f>
        <v>126313.62178882504</v>
      </c>
      <c r="L31" s="48">
        <f>SUM(L29+L30)</f>
        <v>139240.09600125114</v>
      </c>
      <c r="M31" s="48">
        <f>SUM(M29+M30)</f>
        <v>144627.06783546155</v>
      </c>
      <c r="N31" s="48">
        <f>SUM( $I$31:$M$31)</f>
        <v>663889.66987940471</v>
      </c>
      <c r="O31" s="48"/>
      <c r="P31" s="53"/>
      <c r="Q31" s="53"/>
      <c r="R31" s="157"/>
    </row>
    <row r="32" spans="1:18">
      <c r="A32" s="39" t="s">
        <v>105</v>
      </c>
      <c r="B32" s="39"/>
      <c r="C32" s="40" t="s">
        <v>72</v>
      </c>
      <c r="G32" s="80">
        <v>721100</v>
      </c>
      <c r="H32" s="80">
        <v>0</v>
      </c>
      <c r="I32" s="90">
        <v>14418</v>
      </c>
      <c r="J32" s="90">
        <v>0</v>
      </c>
      <c r="K32" s="90">
        <v>0</v>
      </c>
      <c r="L32" s="90">
        <v>14418</v>
      </c>
      <c r="M32" s="90">
        <v>0</v>
      </c>
      <c r="N32" s="40">
        <f>SUM( $I$32:$M$32)</f>
        <v>28836</v>
      </c>
      <c r="P32" s="42" t="s">
        <v>106</v>
      </c>
    </row>
    <row r="33" spans="1:18">
      <c r="A33" s="39" t="s">
        <v>105</v>
      </c>
      <c r="B33" s="39"/>
      <c r="C33" s="40" t="s">
        <v>73</v>
      </c>
      <c r="G33" s="80">
        <v>740000</v>
      </c>
      <c r="H33" s="80">
        <v>0</v>
      </c>
      <c r="I33" s="90">
        <v>8000</v>
      </c>
      <c r="J33" s="90">
        <v>0</v>
      </c>
      <c r="K33" s="90">
        <v>0</v>
      </c>
      <c r="L33" s="90">
        <v>0</v>
      </c>
      <c r="M33" s="90">
        <v>0</v>
      </c>
      <c r="N33" s="40">
        <f>SUM( $I$33:$M$33)</f>
        <v>8000</v>
      </c>
      <c r="P33" s="42" t="s">
        <v>106</v>
      </c>
    </row>
    <row r="34" spans="1:18">
      <c r="A34" s="91" t="s">
        <v>105</v>
      </c>
      <c r="B34" s="91"/>
      <c r="C34" s="40" t="s">
        <v>74</v>
      </c>
      <c r="G34" s="80">
        <v>710000</v>
      </c>
      <c r="H34" s="80">
        <v>0</v>
      </c>
      <c r="I34" s="90">
        <v>2000</v>
      </c>
      <c r="J34" s="90">
        <v>2000</v>
      </c>
      <c r="K34" s="90">
        <v>2000</v>
      </c>
      <c r="L34" s="90">
        <v>2000</v>
      </c>
      <c r="M34" s="90">
        <v>2000</v>
      </c>
      <c r="N34" s="40">
        <f>SUM( $I$34:$M$34)</f>
        <v>10000</v>
      </c>
      <c r="P34" s="42" t="s">
        <v>102</v>
      </c>
    </row>
    <row r="35" spans="1:18">
      <c r="A35" s="82"/>
      <c r="B35" s="47"/>
      <c r="C35" s="48" t="s">
        <v>75</v>
      </c>
      <c r="D35" s="48"/>
      <c r="E35" s="49"/>
      <c r="F35" s="49"/>
      <c r="G35" s="83"/>
      <c r="H35" s="83"/>
      <c r="I35" s="48"/>
      <c r="J35" s="48"/>
      <c r="K35" s="48"/>
      <c r="L35" s="48"/>
      <c r="M35" s="48"/>
      <c r="N35" s="48">
        <f>SUM( $I$35:$M$35)</f>
        <v>0</v>
      </c>
      <c r="O35" s="48"/>
      <c r="P35" s="53"/>
      <c r="Q35" s="53"/>
      <c r="R35" s="157"/>
    </row>
    <row r="36" spans="1:18">
      <c r="A36" s="91" t="s">
        <v>105</v>
      </c>
      <c r="B36" s="91"/>
      <c r="D36" s="40" t="s">
        <v>96</v>
      </c>
      <c r="G36" s="80">
        <v>711200</v>
      </c>
      <c r="H36" s="80">
        <v>0</v>
      </c>
      <c r="I36" s="90">
        <v>40000</v>
      </c>
      <c r="J36" s="90">
        <v>40000</v>
      </c>
      <c r="K36" s="90">
        <v>30000</v>
      </c>
      <c r="L36" s="90">
        <v>40000</v>
      </c>
      <c r="M36" s="90">
        <v>30000</v>
      </c>
      <c r="N36" s="40">
        <f>SUM( $I$36:$M$36)</f>
        <v>180000</v>
      </c>
      <c r="P36" s="42" t="s">
        <v>102</v>
      </c>
    </row>
    <row r="37" spans="1:18">
      <c r="A37" s="91" t="s">
        <v>105</v>
      </c>
      <c r="B37" s="91"/>
      <c r="D37" s="40" t="s">
        <v>97</v>
      </c>
      <c r="G37" s="80">
        <v>711200</v>
      </c>
      <c r="H37" s="80">
        <v>0</v>
      </c>
      <c r="I37" s="90">
        <v>1500</v>
      </c>
      <c r="J37" s="90">
        <v>1500</v>
      </c>
      <c r="K37" s="90">
        <v>3000</v>
      </c>
      <c r="L37" s="90">
        <v>1500</v>
      </c>
      <c r="M37" s="90">
        <v>3000</v>
      </c>
      <c r="N37" s="40">
        <f>SUM( $I$37:$M$37)</f>
        <v>10500</v>
      </c>
      <c r="P37" s="42" t="s">
        <v>102</v>
      </c>
    </row>
    <row r="38" spans="1:18">
      <c r="A38" s="91" t="s">
        <v>105</v>
      </c>
      <c r="B38" s="91"/>
      <c r="D38" s="40" t="s">
        <v>98</v>
      </c>
      <c r="G38" s="80">
        <v>717000</v>
      </c>
      <c r="H38" s="80">
        <v>0</v>
      </c>
      <c r="I38" s="90">
        <v>0</v>
      </c>
      <c r="J38" s="90">
        <v>0</v>
      </c>
      <c r="K38" s="90">
        <v>0</v>
      </c>
      <c r="L38" s="90">
        <v>0</v>
      </c>
      <c r="M38" s="90">
        <v>0</v>
      </c>
      <c r="N38" s="40">
        <f>SUM( $I$38:$M$38)</f>
        <v>0</v>
      </c>
      <c r="P38" s="42" t="s">
        <v>102</v>
      </c>
    </row>
    <row r="39" spans="1:18">
      <c r="A39" s="91" t="s">
        <v>105</v>
      </c>
      <c r="B39" s="92"/>
      <c r="D39" s="40" t="s">
        <v>99</v>
      </c>
      <c r="G39" s="80">
        <v>711200</v>
      </c>
      <c r="H39" s="80">
        <v>0</v>
      </c>
      <c r="I39" s="90">
        <v>0</v>
      </c>
      <c r="J39" s="90">
        <v>0</v>
      </c>
      <c r="K39" s="90">
        <v>0</v>
      </c>
      <c r="L39" s="90">
        <v>0</v>
      </c>
      <c r="M39" s="90">
        <v>0</v>
      </c>
      <c r="N39" s="40">
        <f>SUM( $I$39:$M$39)</f>
        <v>0</v>
      </c>
      <c r="P39" s="42" t="s">
        <v>102</v>
      </c>
    </row>
    <row r="40" spans="1:18">
      <c r="A40" s="84" t="s">
        <v>105</v>
      </c>
      <c r="B40" s="39"/>
      <c r="D40" s="40" t="s">
        <v>50</v>
      </c>
      <c r="G40" s="80"/>
      <c r="H40" s="80">
        <v>0</v>
      </c>
      <c r="I40" s="40">
        <v>0</v>
      </c>
      <c r="J40" s="40">
        <v>0</v>
      </c>
      <c r="K40" s="40">
        <v>0</v>
      </c>
      <c r="L40" s="40">
        <v>0</v>
      </c>
      <c r="M40" s="40">
        <v>0</v>
      </c>
      <c r="N40" s="40">
        <f>SUM( $I$40:$M$40)</f>
        <v>0</v>
      </c>
      <c r="P40" s="42" t="s">
        <v>102</v>
      </c>
    </row>
    <row r="41" spans="1:18">
      <c r="A41" s="84" t="s">
        <v>105</v>
      </c>
      <c r="B41" s="39"/>
      <c r="D41" s="40" t="s">
        <v>51</v>
      </c>
      <c r="G41" s="80"/>
      <c r="H41" s="80">
        <v>0</v>
      </c>
      <c r="I41" s="40">
        <v>0</v>
      </c>
      <c r="J41" s="40">
        <v>0</v>
      </c>
      <c r="K41" s="40">
        <v>0</v>
      </c>
      <c r="L41" s="40">
        <v>0</v>
      </c>
      <c r="M41" s="40">
        <v>0</v>
      </c>
      <c r="N41" s="40">
        <f>SUM( $I$41:$M$41)</f>
        <v>0</v>
      </c>
      <c r="P41" s="42" t="s">
        <v>106</v>
      </c>
    </row>
    <row r="42" spans="1:18">
      <c r="A42" s="82"/>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c r="R42" s="157"/>
    </row>
    <row r="43" spans="1:18">
      <c r="A43" s="91" t="s">
        <v>105</v>
      </c>
      <c r="B43" s="92"/>
      <c r="D43" s="40" t="s">
        <v>5</v>
      </c>
      <c r="G43" s="80">
        <v>717200</v>
      </c>
      <c r="H43" s="80">
        <v>0</v>
      </c>
      <c r="I43" s="90">
        <v>0</v>
      </c>
      <c r="J43" s="90">
        <v>0</v>
      </c>
      <c r="K43" s="90">
        <v>0</v>
      </c>
      <c r="L43" s="90">
        <v>0</v>
      </c>
      <c r="M43" s="90">
        <v>0</v>
      </c>
      <c r="N43" s="40">
        <f>SUM( $I$43:$M$43)</f>
        <v>0</v>
      </c>
      <c r="P43" s="42" t="s">
        <v>102</v>
      </c>
    </row>
    <row r="44" spans="1:18">
      <c r="A44" s="91" t="s">
        <v>105</v>
      </c>
      <c r="B44" s="91"/>
      <c r="D44" s="40" t="s">
        <v>6</v>
      </c>
      <c r="G44" s="80">
        <v>722200</v>
      </c>
      <c r="H44" s="80">
        <v>0</v>
      </c>
      <c r="I44" s="90">
        <v>0</v>
      </c>
      <c r="J44" s="90">
        <v>0</v>
      </c>
      <c r="K44" s="90">
        <v>0</v>
      </c>
      <c r="L44" s="90">
        <v>0</v>
      </c>
      <c r="M44" s="90">
        <v>0</v>
      </c>
      <c r="N44" s="40">
        <f>SUM( $I$44:$M$44)</f>
        <v>0</v>
      </c>
      <c r="P44" s="42" t="s">
        <v>102</v>
      </c>
    </row>
    <row r="45" spans="1:18">
      <c r="A45" s="91" t="s">
        <v>105</v>
      </c>
      <c r="B45" s="91"/>
      <c r="D45" s="40" t="s">
        <v>52</v>
      </c>
      <c r="H45" s="80">
        <v>0</v>
      </c>
      <c r="I45" s="90">
        <v>0</v>
      </c>
      <c r="J45" s="90">
        <v>0</v>
      </c>
      <c r="K45" s="90">
        <v>0</v>
      </c>
      <c r="L45" s="90">
        <v>0</v>
      </c>
      <c r="M45" s="90">
        <v>0</v>
      </c>
      <c r="N45" s="40">
        <f>SUM( $I$45:$M$45)</f>
        <v>0</v>
      </c>
      <c r="P45" s="65" t="s">
        <v>102</v>
      </c>
    </row>
    <row r="46" spans="1:18">
      <c r="A46" s="91" t="s">
        <v>105</v>
      </c>
      <c r="B46" s="91"/>
      <c r="D46" s="40" t="s">
        <v>53</v>
      </c>
      <c r="H46" s="80">
        <v>0</v>
      </c>
      <c r="I46" s="90">
        <v>0</v>
      </c>
      <c r="J46" s="90">
        <v>0</v>
      </c>
      <c r="K46" s="90">
        <v>0</v>
      </c>
      <c r="L46" s="90">
        <v>0</v>
      </c>
      <c r="M46" s="90">
        <v>0</v>
      </c>
      <c r="N46" s="40">
        <f>SUM( $I$46:$M$46)</f>
        <v>0</v>
      </c>
      <c r="P46" s="42" t="s">
        <v>106</v>
      </c>
    </row>
    <row r="47" spans="1:18" ht="30.75" customHeight="1">
      <c r="A47" s="48"/>
      <c r="B47" s="48"/>
      <c r="C47" s="48"/>
      <c r="D47" s="48" t="s">
        <v>76</v>
      </c>
      <c r="E47" s="49"/>
      <c r="F47" s="49"/>
      <c r="G47" s="48"/>
      <c r="H47" s="48">
        <f t="shared" ref="H47:M47" si="3">SUM(H31:H41,H43:H46)</f>
        <v>0</v>
      </c>
      <c r="I47" s="48">
        <f t="shared" si="3"/>
        <v>199202.42132410407</v>
      </c>
      <c r="J47" s="48">
        <f t="shared" si="3"/>
        <v>163924.4629297629</v>
      </c>
      <c r="K47" s="48">
        <f t="shared" si="3"/>
        <v>161313.62178882502</v>
      </c>
      <c r="L47" s="48">
        <f t="shared" si="3"/>
        <v>197158.09600125114</v>
      </c>
      <c r="M47" s="48">
        <f t="shared" si="3"/>
        <v>179627.06783546155</v>
      </c>
      <c r="N47" s="48">
        <f>SUM( $I$47:$M$47)</f>
        <v>901225.66987940471</v>
      </c>
      <c r="O47" s="48"/>
      <c r="P47" s="53"/>
      <c r="Q47" s="53"/>
      <c r="R47" s="157"/>
    </row>
    <row r="48" spans="1:18" s="108" customFormat="1" ht="15.75" customHeight="1">
      <c r="D48" s="108" t="s">
        <v>11</v>
      </c>
      <c r="E48" s="109"/>
      <c r="F48" s="109"/>
      <c r="H48" s="108">
        <f t="shared" ref="H48:M48" si="4">SUMIF($P$10:$P$46,"Y",H10:H46)</f>
        <v>49333.333333333336</v>
      </c>
      <c r="I48" s="108">
        <f t="shared" si="4"/>
        <v>176784.42132410407</v>
      </c>
      <c r="J48" s="108">
        <f t="shared" si="4"/>
        <v>163924.4629297629</v>
      </c>
      <c r="K48" s="108">
        <f t="shared" si="4"/>
        <v>161313.62178882502</v>
      </c>
      <c r="L48" s="108">
        <f t="shared" si="4"/>
        <v>182740.09600125114</v>
      </c>
      <c r="M48" s="108">
        <f t="shared" si="4"/>
        <v>179627.06783546155</v>
      </c>
      <c r="N48" s="108">
        <f>SUM( $I$48:$M$48)</f>
        <v>864389.66987940471</v>
      </c>
      <c r="P48" s="109"/>
      <c r="Q48" s="109"/>
      <c r="R48" s="162"/>
    </row>
    <row r="49" spans="1:18" ht="27.75" customHeight="1">
      <c r="C49" s="40" t="s">
        <v>77</v>
      </c>
      <c r="G49" s="80"/>
      <c r="H49" s="40">
        <f t="shared" ref="H49:M49" si="5">H4*H48</f>
        <v>0</v>
      </c>
      <c r="I49" s="40">
        <f t="shared" si="5"/>
        <v>83972.599075232167</v>
      </c>
      <c r="J49" s="40">
        <f t="shared" si="5"/>
        <v>77864.118914571445</v>
      </c>
      <c r="K49" s="40">
        <f t="shared" si="5"/>
        <v>76623.969388187776</v>
      </c>
      <c r="L49" s="40">
        <f t="shared" si="5"/>
        <v>86801.544511378437</v>
      </c>
      <c r="M49" s="40">
        <f t="shared" si="5"/>
        <v>85322.856151183485</v>
      </c>
      <c r="N49" s="40">
        <f>SUM( $I$49:$M$49)</f>
        <v>410585.08804055332</v>
      </c>
    </row>
    <row r="50" spans="1:18" ht="32" customHeight="1">
      <c r="A50" s="48"/>
      <c r="B50" s="48"/>
      <c r="C50" s="48"/>
      <c r="D50" s="48" t="s">
        <v>12</v>
      </c>
      <c r="E50" s="49"/>
      <c r="F50" s="49"/>
      <c r="G50" s="48"/>
      <c r="H50" s="48">
        <f t="shared" ref="H50:M50" si="6">SUM(H49+H47)</f>
        <v>0</v>
      </c>
      <c r="I50" s="48">
        <f t="shared" si="6"/>
        <v>283175.02039933624</v>
      </c>
      <c r="J50" s="48">
        <f t="shared" si="6"/>
        <v>241788.58184433435</v>
      </c>
      <c r="K50" s="48">
        <f t="shared" si="6"/>
        <v>237937.5911770128</v>
      </c>
      <c r="L50" s="48">
        <f t="shared" si="6"/>
        <v>283959.64051262959</v>
      </c>
      <c r="M50" s="48">
        <f t="shared" si="6"/>
        <v>264949.92398664507</v>
      </c>
      <c r="N50" s="48">
        <f>SUM( $I$50:$M$50)</f>
        <v>1311810.7579199579</v>
      </c>
      <c r="O50" s="48"/>
      <c r="P50" s="53"/>
      <c r="Q50" s="53"/>
      <c r="R50" s="157"/>
    </row>
    <row r="51" spans="1:18" ht="29" customHeight="1">
      <c r="C51" s="40" t="s">
        <v>14</v>
      </c>
      <c r="E51" s="80"/>
      <c r="F51" s="80"/>
      <c r="I51" s="40">
        <v>0</v>
      </c>
      <c r="J51" s="40">
        <v>0</v>
      </c>
      <c r="K51" s="40">
        <v>0</v>
      </c>
      <c r="L51" s="40">
        <v>0</v>
      </c>
      <c r="M51" s="40">
        <v>0</v>
      </c>
      <c r="N51" s="40">
        <f>SUM( $I$51:$M$51)</f>
        <v>0</v>
      </c>
    </row>
    <row r="52" spans="1:18">
      <c r="C52" s="40" t="s">
        <v>13</v>
      </c>
      <c r="N52" s="40">
        <f>SUM( $I$52:$M$52)</f>
        <v>0</v>
      </c>
    </row>
    <row r="53" spans="1:18" ht="29" customHeight="1">
      <c r="A53" s="48"/>
      <c r="B53" s="48"/>
      <c r="C53" s="48"/>
      <c r="D53" s="48" t="s">
        <v>78</v>
      </c>
      <c r="E53" s="49"/>
      <c r="F53" s="49"/>
      <c r="G53" s="48"/>
      <c r="H53" s="48">
        <f t="shared" ref="H53:M53" si="7">SUM(H52+H51+H50)</f>
        <v>0</v>
      </c>
      <c r="I53" s="48">
        <f t="shared" si="7"/>
        <v>283175.02039933624</v>
      </c>
      <c r="J53" s="48">
        <f t="shared" si="7"/>
        <v>241788.58184433435</v>
      </c>
      <c r="K53" s="48">
        <f t="shared" si="7"/>
        <v>237937.5911770128</v>
      </c>
      <c r="L53" s="48">
        <f t="shared" si="7"/>
        <v>283959.64051262959</v>
      </c>
      <c r="M53" s="48">
        <f t="shared" si="7"/>
        <v>264949.92398664507</v>
      </c>
      <c r="N53" s="48">
        <f>SUM( $I$53:$M$53)</f>
        <v>1311810.7579199579</v>
      </c>
      <c r="O53" s="48"/>
      <c r="P53" s="53"/>
      <c r="Q53" s="53"/>
      <c r="R53" s="157"/>
    </row>
    <row r="59" spans="1:18">
      <c r="A59" s="64"/>
      <c r="B59" s="64"/>
      <c r="C59" s="64"/>
      <c r="D59" s="64"/>
    </row>
  </sheetData>
  <sheetProtection algorithmName="SHA-512" hashValue="18f1RXzTMXWTxEkUnPUAWk7mwFFEFDknFRCldrP0FyaXY6591JwiwwgKrn3ZJnjeXV8ypGnPgcf/yes5+pVSPA==" saltValue="esaMdDgBF09+MPdvp0Sy/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P10:P53">
      <formula1>InBaseList</formula1>
    </dataValidation>
    <dataValidation type="list" allowBlank="1" showInputMessage="1" showErrorMessage="1" sqref="Q10:Q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177800</xdr:colOff>
                    <xdr:row>30</xdr:row>
                    <xdr:rowOff>241300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114300</xdr:rowOff>
                  </from>
                  <to>
                    <xdr:col>3</xdr:col>
                    <xdr:colOff>876300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177800</xdr:colOff>
                    <xdr:row>30</xdr:row>
                    <xdr:rowOff>241300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activeCell="A4" sqref="A4"/>
    </sheetView>
  </sheetViews>
  <sheetFormatPr baseColWidth="10" defaultColWidth="11.42578125" defaultRowHeight="12" x14ac:dyDescent="0"/>
  <cols>
    <col min="1" max="1" width="29" style="116" customWidth="1"/>
    <col min="2" max="7" width="11.42578125" style="116" customWidth="1"/>
    <col min="8" max="8" width="1.5703125" style="117" customWidth="1"/>
    <col min="9" max="9" width="3.85546875" style="118" bestFit="1" customWidth="1"/>
    <col min="10" max="16384" width="11.42578125" style="116"/>
  </cols>
  <sheetData>
    <row r="1" spans="1:17">
      <c r="A1" s="115" t="str">
        <f>VersionNo</f>
        <v>PropBud v1.12</v>
      </c>
    </row>
    <row r="2" spans="1:17" s="64" customFormat="1" ht="23" customHeight="1">
      <c r="A2" s="51" t="s">
        <v>33</v>
      </c>
      <c r="B2" s="52">
        <v>0.47499999403953552</v>
      </c>
      <c r="C2" s="52">
        <v>0.47499999403953552</v>
      </c>
      <c r="D2" s="52">
        <v>0.47499999403953552</v>
      </c>
      <c r="E2" s="52">
        <v>0.47499999403953552</v>
      </c>
      <c r="F2" s="52">
        <v>0.47499999403953552</v>
      </c>
      <c r="G2" s="47"/>
      <c r="H2" s="48"/>
      <c r="I2" s="49"/>
      <c r="J2" s="119"/>
      <c r="L2" s="120"/>
      <c r="M2" s="121"/>
      <c r="N2" s="121"/>
      <c r="P2" s="122"/>
      <c r="Q2" s="122"/>
    </row>
    <row r="3" spans="1:17" s="128" customFormat="1">
      <c r="A3" s="123" t="s">
        <v>141</v>
      </c>
      <c r="B3" s="124" t="s">
        <v>100</v>
      </c>
      <c r="C3" s="124" t="s">
        <v>189</v>
      </c>
      <c r="D3" s="124" t="s">
        <v>190</v>
      </c>
      <c r="E3" s="124" t="s">
        <v>191</v>
      </c>
      <c r="F3" s="124" t="s">
        <v>192</v>
      </c>
      <c r="G3" s="124" t="s">
        <v>59</v>
      </c>
      <c r="H3" s="125"/>
      <c r="I3" s="126" t="s">
        <v>28</v>
      </c>
      <c r="J3" s="127"/>
    </row>
    <row r="4" spans="1:17">
      <c r="A4" s="35" t="s">
        <v>82</v>
      </c>
      <c r="B4" s="36">
        <v>0</v>
      </c>
      <c r="C4" s="36">
        <v>0</v>
      </c>
      <c r="D4" s="36">
        <v>0</v>
      </c>
      <c r="E4" s="36">
        <v>0</v>
      </c>
      <c r="F4" s="36">
        <v>0</v>
      </c>
      <c r="G4" s="129">
        <f>SUM( $B$4:$F$4)</f>
        <v>0</v>
      </c>
      <c r="H4" s="151"/>
      <c r="I4" s="152" t="s">
        <v>3</v>
      </c>
    </row>
    <row r="5" spans="1:17">
      <c r="A5" s="35" t="s">
        <v>83</v>
      </c>
      <c r="B5" s="36">
        <v>0</v>
      </c>
      <c r="C5" s="36">
        <v>0</v>
      </c>
      <c r="D5" s="36">
        <v>0</v>
      </c>
      <c r="E5" s="36">
        <v>0</v>
      </c>
      <c r="F5" s="36">
        <v>0</v>
      </c>
      <c r="G5" s="129">
        <f>SUM( $B$5:$F$5)</f>
        <v>0</v>
      </c>
      <c r="H5" s="151"/>
      <c r="I5" s="152" t="s">
        <v>3</v>
      </c>
    </row>
    <row r="6" spans="1:17">
      <c r="A6" s="35" t="s">
        <v>84</v>
      </c>
      <c r="B6" s="36">
        <v>0</v>
      </c>
      <c r="C6" s="36">
        <v>0</v>
      </c>
      <c r="D6" s="36">
        <v>0</v>
      </c>
      <c r="E6" s="36">
        <v>0</v>
      </c>
      <c r="F6" s="36">
        <v>0</v>
      </c>
      <c r="G6" s="129">
        <f>SUM( $B$6:$F$6)</f>
        <v>0</v>
      </c>
      <c r="H6" s="151"/>
      <c r="I6" s="152" t="s">
        <v>3</v>
      </c>
    </row>
    <row r="7" spans="1:17">
      <c r="A7" s="35" t="s">
        <v>85</v>
      </c>
      <c r="B7" s="36">
        <v>0</v>
      </c>
      <c r="C7" s="36">
        <v>0</v>
      </c>
      <c r="D7" s="36">
        <v>0</v>
      </c>
      <c r="E7" s="36">
        <v>0</v>
      </c>
      <c r="F7" s="36">
        <v>0</v>
      </c>
      <c r="G7" s="129">
        <f>SUM( $B$7:$F$7)</f>
        <v>0</v>
      </c>
      <c r="H7" s="151"/>
      <c r="I7" s="152" t="s">
        <v>3</v>
      </c>
    </row>
    <row r="8" spans="1:17">
      <c r="A8" s="35" t="s">
        <v>86</v>
      </c>
      <c r="B8" s="36">
        <v>0</v>
      </c>
      <c r="C8" s="36">
        <v>0</v>
      </c>
      <c r="D8" s="36">
        <v>0</v>
      </c>
      <c r="E8" s="36">
        <v>0</v>
      </c>
      <c r="F8" s="36">
        <v>0</v>
      </c>
      <c r="G8" s="129">
        <f>SUM( $B$8:$F$8)</f>
        <v>0</v>
      </c>
      <c r="H8" s="151"/>
      <c r="I8" s="152" t="s">
        <v>3</v>
      </c>
    </row>
    <row r="9" spans="1:17">
      <c r="A9" s="35" t="s">
        <v>160</v>
      </c>
      <c r="B9" s="36">
        <v>0</v>
      </c>
      <c r="C9" s="36">
        <v>0</v>
      </c>
      <c r="D9" s="36">
        <v>0</v>
      </c>
      <c r="E9" s="36">
        <v>0</v>
      </c>
      <c r="F9" s="36">
        <v>0</v>
      </c>
      <c r="G9" s="129">
        <f>SUM( $B$9:$F$9)</f>
        <v>0</v>
      </c>
      <c r="H9" s="151"/>
      <c r="I9" s="152" t="s">
        <v>3</v>
      </c>
    </row>
    <row r="10" spans="1:17">
      <c r="A10" s="35" t="s">
        <v>161</v>
      </c>
      <c r="B10" s="36">
        <v>0</v>
      </c>
      <c r="C10" s="36">
        <v>0</v>
      </c>
      <c r="D10" s="36">
        <v>0</v>
      </c>
      <c r="E10" s="36">
        <v>0</v>
      </c>
      <c r="F10" s="36">
        <v>0</v>
      </c>
      <c r="G10" s="129">
        <f>SUM( $B$10:$F$10)</f>
        <v>0</v>
      </c>
      <c r="H10" s="151"/>
      <c r="I10" s="152" t="s">
        <v>3</v>
      </c>
    </row>
    <row r="11" spans="1:17">
      <c r="A11" s="35" t="s">
        <v>162</v>
      </c>
      <c r="B11" s="36">
        <v>0</v>
      </c>
      <c r="C11" s="36">
        <v>0</v>
      </c>
      <c r="D11" s="36">
        <v>0</v>
      </c>
      <c r="E11" s="36">
        <v>0</v>
      </c>
      <c r="F11" s="36">
        <v>0</v>
      </c>
      <c r="G11" s="129">
        <f>SUM( $B$11:$F$11)</f>
        <v>0</v>
      </c>
      <c r="H11" s="153"/>
      <c r="I11" s="152" t="s">
        <v>3</v>
      </c>
    </row>
    <row r="12" spans="1:17">
      <c r="A12" s="35" t="s">
        <v>0</v>
      </c>
      <c r="B12" s="36">
        <v>0</v>
      </c>
      <c r="C12" s="36">
        <v>0</v>
      </c>
      <c r="D12" s="36">
        <v>0</v>
      </c>
      <c r="E12" s="36">
        <v>0</v>
      </c>
      <c r="F12" s="36">
        <v>0</v>
      </c>
      <c r="G12" s="129">
        <f>SUM( $B$12:$F$12)</f>
        <v>0</v>
      </c>
      <c r="H12" s="153"/>
      <c r="I12" s="152" t="s">
        <v>3</v>
      </c>
    </row>
    <row r="13" spans="1:17">
      <c r="A13" s="35" t="s">
        <v>1</v>
      </c>
      <c r="B13" s="37">
        <v>0</v>
      </c>
      <c r="C13" s="37">
        <v>0</v>
      </c>
      <c r="D13" s="37">
        <v>0</v>
      </c>
      <c r="E13" s="37">
        <v>0</v>
      </c>
      <c r="F13" s="37">
        <v>0</v>
      </c>
      <c r="G13" s="129">
        <f>SUM( $B$13:$F$13)</f>
        <v>0</v>
      </c>
      <c r="H13" s="153"/>
      <c r="I13" s="152" t="s">
        <v>3</v>
      </c>
    </row>
    <row r="14" spans="1:17">
      <c r="A14" s="133" t="s">
        <v>76</v>
      </c>
      <c r="B14" s="134">
        <f>SUM(B4:B13)</f>
        <v>0</v>
      </c>
      <c r="C14" s="134">
        <f>SUM(C4:C13)</f>
        <v>0</v>
      </c>
      <c r="D14" s="134">
        <f>SUM(D4:D13)</f>
        <v>0</v>
      </c>
      <c r="E14" s="134">
        <f>SUM(E4:E13)</f>
        <v>0</v>
      </c>
      <c r="F14" s="134">
        <f>SUM(F4:F13)</f>
        <v>0</v>
      </c>
      <c r="G14" s="134">
        <f>SUM( $B$14:$F$14)</f>
        <v>0</v>
      </c>
      <c r="H14" s="135"/>
      <c r="I14" s="126"/>
    </row>
    <row r="15" spans="1:17" s="128" customFormat="1" ht="36.75" customHeight="1">
      <c r="A15" s="136"/>
      <c r="B15" s="127"/>
      <c r="C15" s="127"/>
      <c r="D15" s="127"/>
      <c r="E15" s="127"/>
      <c r="F15" s="127"/>
      <c r="G15" s="127"/>
      <c r="H15" s="62"/>
      <c r="I15" s="137"/>
    </row>
    <row r="16" spans="1:17">
      <c r="A16" s="138" t="s">
        <v>91</v>
      </c>
      <c r="B16" s="124"/>
      <c r="C16" s="124"/>
      <c r="D16" s="124"/>
      <c r="E16" s="124"/>
      <c r="F16" s="124"/>
      <c r="G16" s="124" t="str">
        <f>G3</f>
        <v>Total</v>
      </c>
      <c r="H16" s="135"/>
      <c r="I16" s="126"/>
    </row>
    <row r="17" spans="1:10">
      <c r="A17" s="139" t="str">
        <f t="shared" ref="A17:A26" si="0">A4</f>
        <v>Sub #1</v>
      </c>
      <c r="B17" s="129">
        <v>0</v>
      </c>
      <c r="C17" s="129">
        <v>0</v>
      </c>
      <c r="D17" s="129">
        <v>0</v>
      </c>
      <c r="E17" s="129">
        <v>0</v>
      </c>
      <c r="F17" s="129">
        <v>0</v>
      </c>
      <c r="G17" s="129">
        <f>SUM( $B$17:$F$17)</f>
        <v>0</v>
      </c>
      <c r="H17" s="132"/>
      <c r="I17" s="131"/>
    </row>
    <row r="18" spans="1:10">
      <c r="A18" s="140" t="str">
        <f t="shared" si="0"/>
        <v>Sub #2</v>
      </c>
      <c r="B18" s="129">
        <v>0</v>
      </c>
      <c r="C18" s="129">
        <v>0</v>
      </c>
      <c r="D18" s="129">
        <v>0</v>
      </c>
      <c r="E18" s="129">
        <v>0</v>
      </c>
      <c r="F18" s="129">
        <v>0</v>
      </c>
      <c r="G18" s="129">
        <f>SUM( $B$18:$F$18)</f>
        <v>0</v>
      </c>
      <c r="H18" s="132"/>
      <c r="I18" s="131"/>
    </row>
    <row r="19" spans="1:10">
      <c r="A19" s="140" t="str">
        <f t="shared" si="0"/>
        <v>Sub #3</v>
      </c>
      <c r="B19" s="129">
        <v>0</v>
      </c>
      <c r="C19" s="129">
        <v>0</v>
      </c>
      <c r="D19" s="129">
        <v>0</v>
      </c>
      <c r="E19" s="129">
        <v>0</v>
      </c>
      <c r="F19" s="129">
        <v>0</v>
      </c>
      <c r="G19" s="129">
        <f>SUM( $B$19:$F$19)</f>
        <v>0</v>
      </c>
      <c r="H19" s="132"/>
      <c r="I19" s="131"/>
    </row>
    <row r="20" spans="1:10">
      <c r="A20" s="140" t="str">
        <f t="shared" si="0"/>
        <v>Sub #4</v>
      </c>
      <c r="B20" s="129">
        <v>0</v>
      </c>
      <c r="C20" s="129">
        <v>0</v>
      </c>
      <c r="D20" s="129">
        <v>0</v>
      </c>
      <c r="E20" s="129">
        <v>0</v>
      </c>
      <c r="F20" s="129">
        <v>0</v>
      </c>
      <c r="G20" s="129">
        <f>SUM( $B$20:$F$20)</f>
        <v>0</v>
      </c>
      <c r="H20" s="130"/>
      <c r="I20" s="131"/>
    </row>
    <row r="21" spans="1:10">
      <c r="A21" s="140" t="str">
        <f t="shared" si="0"/>
        <v>Sub #5</v>
      </c>
      <c r="B21" s="129">
        <v>0</v>
      </c>
      <c r="C21" s="129">
        <v>0</v>
      </c>
      <c r="D21" s="129">
        <v>0</v>
      </c>
      <c r="E21" s="129">
        <v>0</v>
      </c>
      <c r="F21" s="129">
        <v>0</v>
      </c>
      <c r="G21" s="129">
        <f>SUM( $B$21:$F$21)</f>
        <v>0</v>
      </c>
      <c r="H21" s="130"/>
      <c r="I21" s="131"/>
    </row>
    <row r="22" spans="1:10">
      <c r="A22" s="140" t="str">
        <f t="shared" si="0"/>
        <v>Sub #6</v>
      </c>
      <c r="B22" s="129">
        <v>0</v>
      </c>
      <c r="C22" s="129">
        <v>0</v>
      </c>
      <c r="D22" s="129">
        <v>0</v>
      </c>
      <c r="E22" s="129">
        <v>0</v>
      </c>
      <c r="F22" s="129">
        <v>0</v>
      </c>
      <c r="G22" s="129">
        <f>SUM( $B$22:$F$22)</f>
        <v>0</v>
      </c>
      <c r="H22" s="130"/>
      <c r="I22" s="131"/>
    </row>
    <row r="23" spans="1:10">
      <c r="A23" s="140" t="str">
        <f t="shared" si="0"/>
        <v>Sub #7</v>
      </c>
      <c r="B23" s="129">
        <v>0</v>
      </c>
      <c r="C23" s="129">
        <v>0</v>
      </c>
      <c r="D23" s="129">
        <v>0</v>
      </c>
      <c r="E23" s="129">
        <v>0</v>
      </c>
      <c r="F23" s="129">
        <v>0</v>
      </c>
      <c r="G23" s="129">
        <f>SUM( $B$23:$F$23)</f>
        <v>0</v>
      </c>
      <c r="H23" s="130"/>
      <c r="I23" s="131"/>
    </row>
    <row r="24" spans="1:10">
      <c r="A24" s="140" t="str">
        <f t="shared" si="0"/>
        <v>Sub #8</v>
      </c>
      <c r="B24" s="129">
        <v>0</v>
      </c>
      <c r="C24" s="129">
        <v>0</v>
      </c>
      <c r="D24" s="129">
        <v>0</v>
      </c>
      <c r="E24" s="129">
        <v>0</v>
      </c>
      <c r="F24" s="129">
        <v>0</v>
      </c>
      <c r="G24" s="129">
        <f>SUM( $B$24:$F$24)</f>
        <v>0</v>
      </c>
      <c r="H24" s="130"/>
      <c r="I24" s="131"/>
    </row>
    <row r="25" spans="1:10">
      <c r="A25" s="140" t="str">
        <f t="shared" si="0"/>
        <v>Sub #9</v>
      </c>
      <c r="B25" s="129">
        <v>0</v>
      </c>
      <c r="C25" s="129">
        <v>0</v>
      </c>
      <c r="D25" s="129">
        <v>0</v>
      </c>
      <c r="E25" s="129">
        <v>0</v>
      </c>
      <c r="F25" s="129">
        <v>0</v>
      </c>
      <c r="G25" s="129">
        <f>SUM( $B$25:$F$25)</f>
        <v>0</v>
      </c>
      <c r="H25" s="130"/>
      <c r="I25" s="131"/>
    </row>
    <row r="26" spans="1:10">
      <c r="A26" s="141" t="str">
        <f t="shared" si="0"/>
        <v>Sub #10</v>
      </c>
      <c r="B26" s="129">
        <v>0</v>
      </c>
      <c r="C26" s="129">
        <v>0</v>
      </c>
      <c r="D26" s="129">
        <v>0</v>
      </c>
      <c r="E26" s="129">
        <v>0</v>
      </c>
      <c r="F26" s="129">
        <v>0</v>
      </c>
      <c r="G26" s="129">
        <f>SUM( $B$26:$F$26)</f>
        <v>0</v>
      </c>
      <c r="H26" s="130"/>
      <c r="I26" s="131"/>
    </row>
    <row r="27" spans="1:10">
      <c r="A27" s="142" t="s">
        <v>92</v>
      </c>
      <c r="B27" s="133">
        <f>SUM(B17:B26)</f>
        <v>0</v>
      </c>
      <c r="C27" s="133">
        <f>SUM(C17:C26)</f>
        <v>0</v>
      </c>
      <c r="D27" s="133">
        <f>SUM(D17:D26)</f>
        <v>0</v>
      </c>
      <c r="E27" s="133">
        <f>SUM(E17:E26)</f>
        <v>0</v>
      </c>
      <c r="F27" s="133">
        <f>SUM(F17:F26)</f>
        <v>0</v>
      </c>
      <c r="G27" s="134">
        <f>SUM( $B$27:$F$27)</f>
        <v>0</v>
      </c>
      <c r="H27" s="125"/>
      <c r="I27" s="126"/>
      <c r="J27" s="143"/>
    </row>
    <row r="28" spans="1:10">
      <c r="A28" s="127"/>
    </row>
    <row r="29" spans="1:10">
      <c r="A29" s="127"/>
    </row>
    <row r="30" spans="1:10">
      <c r="A30" s="140" t="s">
        <v>93</v>
      </c>
      <c r="B30" s="144">
        <v>0</v>
      </c>
      <c r="C30" s="144">
        <v>0</v>
      </c>
      <c r="D30" s="144">
        <v>0</v>
      </c>
      <c r="E30" s="144">
        <v>0</v>
      </c>
      <c r="F30" s="144">
        <v>0</v>
      </c>
      <c r="G30" s="129">
        <f>SUM( $B$30:$F$30)</f>
        <v>0</v>
      </c>
      <c r="H30" s="130"/>
      <c r="I30" s="145"/>
      <c r="J30" s="146"/>
    </row>
    <row r="31" spans="1:10">
      <c r="A31" s="140" t="s">
        <v>94</v>
      </c>
      <c r="B31" s="147">
        <v>0</v>
      </c>
      <c r="C31" s="147">
        <v>0</v>
      </c>
      <c r="D31" s="147">
        <v>0</v>
      </c>
      <c r="E31" s="147">
        <v>0</v>
      </c>
      <c r="F31" s="147">
        <v>0</v>
      </c>
      <c r="G31" s="129">
        <f>SUM( $B$31:$F$31)</f>
        <v>0</v>
      </c>
      <c r="H31" s="130"/>
      <c r="I31" s="131"/>
      <c r="J31" s="148"/>
    </row>
    <row r="32" spans="1:10">
      <c r="A32" s="149"/>
      <c r="B32" s="150"/>
      <c r="C32" s="150"/>
      <c r="D32" s="150"/>
      <c r="E32" s="150"/>
      <c r="F32" s="150"/>
    </row>
    <row r="33" spans="1:10" hidden="1"/>
    <row r="34" spans="1:10" hidden="1">
      <c r="A34" s="138" t="s">
        <v>156</v>
      </c>
      <c r="B34" s="124"/>
      <c r="C34" s="124"/>
      <c r="D34" s="124"/>
      <c r="E34" s="124"/>
      <c r="F34" s="124"/>
      <c r="G34" s="124" t="s">
        <v>59</v>
      </c>
      <c r="H34" s="135"/>
      <c r="I34" s="126"/>
    </row>
    <row r="35" spans="1:10" hidden="1">
      <c r="A35" s="139" t="str">
        <f>A4</f>
        <v>Sub #1</v>
      </c>
      <c r="B35" s="129">
        <v>0</v>
      </c>
      <c r="C35" s="129">
        <v>25000</v>
      </c>
      <c r="D35" s="129">
        <v>25000</v>
      </c>
      <c r="E35" s="129">
        <v>25000</v>
      </c>
      <c r="F35" s="129">
        <v>25000</v>
      </c>
      <c r="G35" s="129">
        <f>SUM(B35)</f>
        <v>0</v>
      </c>
      <c r="H35" s="132"/>
      <c r="I35" s="131"/>
    </row>
    <row r="36" spans="1:10" hidden="1">
      <c r="A36" s="140" t="str">
        <f t="shared" ref="A36:A44" si="1">A5</f>
        <v>Sub #2</v>
      </c>
      <c r="B36" s="129">
        <v>0</v>
      </c>
      <c r="C36" s="129">
        <v>25000</v>
      </c>
      <c r="D36" s="129">
        <v>25000</v>
      </c>
      <c r="E36" s="129">
        <v>25000</v>
      </c>
      <c r="F36" s="129">
        <v>25000</v>
      </c>
      <c r="G36" s="129">
        <f t="shared" ref="G36:G44" si="2">SUM(B36)</f>
        <v>0</v>
      </c>
      <c r="H36" s="132"/>
      <c r="I36" s="131"/>
    </row>
    <row r="37" spans="1:10" hidden="1">
      <c r="A37" s="140" t="str">
        <f t="shared" si="1"/>
        <v>Sub #3</v>
      </c>
      <c r="B37" s="129">
        <v>0</v>
      </c>
      <c r="C37" s="129">
        <v>25000</v>
      </c>
      <c r="D37" s="129">
        <v>25000</v>
      </c>
      <c r="E37" s="129">
        <v>25000</v>
      </c>
      <c r="F37" s="129">
        <v>25000</v>
      </c>
      <c r="G37" s="129">
        <f t="shared" si="2"/>
        <v>0</v>
      </c>
      <c r="H37" s="132"/>
      <c r="I37" s="131"/>
    </row>
    <row r="38" spans="1:10" hidden="1">
      <c r="A38" s="140" t="str">
        <f t="shared" si="1"/>
        <v>Sub #4</v>
      </c>
      <c r="B38" s="129">
        <v>0</v>
      </c>
      <c r="C38" s="129">
        <v>25000</v>
      </c>
      <c r="D38" s="129">
        <v>25000</v>
      </c>
      <c r="E38" s="129">
        <v>25000</v>
      </c>
      <c r="F38" s="129">
        <v>25000</v>
      </c>
      <c r="G38" s="129">
        <f t="shared" si="2"/>
        <v>0</v>
      </c>
      <c r="H38" s="130"/>
      <c r="I38" s="131"/>
    </row>
    <row r="39" spans="1:10" hidden="1">
      <c r="A39" s="140" t="str">
        <f t="shared" si="1"/>
        <v>Sub #5</v>
      </c>
      <c r="B39" s="129">
        <v>0</v>
      </c>
      <c r="C39" s="129">
        <v>25000</v>
      </c>
      <c r="D39" s="129">
        <v>25000</v>
      </c>
      <c r="E39" s="129">
        <v>25000</v>
      </c>
      <c r="F39" s="129">
        <v>25000</v>
      </c>
      <c r="G39" s="129">
        <f t="shared" si="2"/>
        <v>0</v>
      </c>
      <c r="H39" s="130"/>
      <c r="I39" s="131"/>
    </row>
    <row r="40" spans="1:10" hidden="1">
      <c r="A40" s="140" t="str">
        <f t="shared" si="1"/>
        <v>Sub #6</v>
      </c>
      <c r="B40" s="129">
        <v>0</v>
      </c>
      <c r="C40" s="129">
        <v>25000</v>
      </c>
      <c r="D40" s="129">
        <v>25000</v>
      </c>
      <c r="E40" s="129">
        <v>25000</v>
      </c>
      <c r="F40" s="129">
        <v>25000</v>
      </c>
      <c r="G40" s="129">
        <f t="shared" si="2"/>
        <v>0</v>
      </c>
      <c r="H40" s="130"/>
      <c r="I40" s="131"/>
    </row>
    <row r="41" spans="1:10" hidden="1">
      <c r="A41" s="140" t="str">
        <f t="shared" si="1"/>
        <v>Sub #7</v>
      </c>
      <c r="B41" s="129">
        <v>0</v>
      </c>
      <c r="C41" s="129">
        <v>25000</v>
      </c>
      <c r="D41" s="129">
        <v>25000</v>
      </c>
      <c r="E41" s="129">
        <v>25000</v>
      </c>
      <c r="F41" s="129">
        <v>25000</v>
      </c>
      <c r="G41" s="129">
        <f t="shared" si="2"/>
        <v>0</v>
      </c>
      <c r="H41" s="130"/>
      <c r="I41" s="131"/>
    </row>
    <row r="42" spans="1:10" hidden="1">
      <c r="A42" s="140" t="str">
        <f t="shared" si="1"/>
        <v>Sub #8</v>
      </c>
      <c r="B42" s="129">
        <v>0</v>
      </c>
      <c r="C42" s="129">
        <v>25000</v>
      </c>
      <c r="D42" s="129">
        <v>25000</v>
      </c>
      <c r="E42" s="129">
        <v>25000</v>
      </c>
      <c r="F42" s="129">
        <v>25000</v>
      </c>
      <c r="G42" s="129">
        <f t="shared" si="2"/>
        <v>0</v>
      </c>
      <c r="H42" s="130"/>
      <c r="I42" s="131"/>
    </row>
    <row r="43" spans="1:10" hidden="1">
      <c r="A43" s="140" t="str">
        <f t="shared" si="1"/>
        <v>Sub #9</v>
      </c>
      <c r="B43" s="129">
        <v>0</v>
      </c>
      <c r="C43" s="129">
        <v>25000</v>
      </c>
      <c r="D43" s="129">
        <v>25000</v>
      </c>
      <c r="E43" s="129">
        <v>25000</v>
      </c>
      <c r="F43" s="129">
        <v>25000</v>
      </c>
      <c r="G43" s="129">
        <f t="shared" si="2"/>
        <v>0</v>
      </c>
      <c r="H43" s="130"/>
      <c r="I43" s="131"/>
    </row>
    <row r="44" spans="1:10" hidden="1">
      <c r="A44" s="141" t="str">
        <f t="shared" si="1"/>
        <v>Sub #10</v>
      </c>
      <c r="B44" s="129">
        <v>0</v>
      </c>
      <c r="C44" s="129">
        <v>25000</v>
      </c>
      <c r="D44" s="129">
        <v>25000</v>
      </c>
      <c r="E44" s="129">
        <v>25000</v>
      </c>
      <c r="F44" s="129">
        <v>25000</v>
      </c>
      <c r="G44" s="129">
        <f t="shared" si="2"/>
        <v>0</v>
      </c>
      <c r="H44" s="130"/>
      <c r="I44" s="131"/>
    </row>
    <row r="45" spans="1:10" hidden="1">
      <c r="A45" s="142" t="s">
        <v>157</v>
      </c>
      <c r="B45" s="133">
        <f>SUM(B35:B44)</f>
        <v>0</v>
      </c>
      <c r="C45" s="133"/>
      <c r="D45" s="133"/>
      <c r="E45" s="133"/>
      <c r="F45" s="133"/>
      <c r="G45" s="134">
        <f>SUM(B45)</f>
        <v>0</v>
      </c>
      <c r="H45" s="125"/>
      <c r="I45" s="126"/>
      <c r="J45" s="143"/>
    </row>
    <row r="46" spans="1:10" hidden="1"/>
  </sheetData>
  <sheetProtection algorithmName="SHA-512" hashValue="3naB6Tym/ffCFGUVYtuJf5yHsU2PtOMUiYpHqlfi8SX81Ax4iq9RexPWyF3nqqrjR0luOLmuTQR23eBDv+xfjQ==" saltValue="f9pfUuPtJfsy+K49cwtH7Q==" spinCount="100000"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50800</xdr:rowOff>
                  </from>
                  <to>
                    <xdr:col>0</xdr:col>
                    <xdr:colOff>1346200</xdr:colOff>
                    <xdr:row>14</xdr:row>
                    <xdr:rowOff>304800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53"/>
  <sheetViews>
    <sheetView topLeftCell="A38" workbookViewId="0">
      <selection activeCell="A51" sqref="A51:Q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c r="B41" s="39"/>
      <c r="C41" s="40"/>
      <c r="D41" s="40" t="s">
        <v>51</v>
      </c>
      <c r="E41" s="41"/>
      <c r="F41" s="41"/>
      <c r="G41" s="80"/>
      <c r="H41" s="80">
        <v>0</v>
      </c>
      <c r="I41" s="40">
        <v>0</v>
      </c>
      <c r="J41" s="40">
        <v>0</v>
      </c>
      <c r="K41" s="40">
        <v>0</v>
      </c>
      <c r="L41" s="40">
        <v>0</v>
      </c>
      <c r="M41" s="40">
        <v>0</v>
      </c>
      <c r="N41" s="40">
        <f>SUM( $I$41:$M$41)</f>
        <v>0</v>
      </c>
      <c r="O41" s="40"/>
      <c r="P41" s="42" t="s">
        <v>106</v>
      </c>
      <c r="Q41" s="42"/>
    </row>
    <row r="42" spans="2:17">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1: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1:17">
      <c r="B50" s="48"/>
      <c r="C50" s="48"/>
      <c r="D50" s="48" t="s">
        <v>193</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row r="51" spans="1:17">
      <c r="A51" s="12"/>
      <c r="B51" s="27"/>
      <c r="C51" s="12" t="s">
        <v>79</v>
      </c>
      <c r="D51" s="12"/>
      <c r="E51" s="12"/>
      <c r="F51" s="12"/>
      <c r="G51" s="12"/>
      <c r="H51" s="12"/>
      <c r="I51" s="90">
        <v>0</v>
      </c>
      <c r="J51" s="90">
        <v>0</v>
      </c>
      <c r="K51" s="90">
        <v>0</v>
      </c>
      <c r="L51" s="90">
        <v>0</v>
      </c>
      <c r="M51" s="90">
        <v>0</v>
      </c>
      <c r="N51" s="40">
        <f>SUM( I51:M51)</f>
        <v>0</v>
      </c>
      <c r="O51" s="12"/>
      <c r="P51" s="12"/>
      <c r="Q51" s="12"/>
    </row>
    <row r="52" spans="1:17">
      <c r="A52" s="12"/>
      <c r="B52" s="27"/>
      <c r="C52" s="12" t="s">
        <v>80</v>
      </c>
      <c r="D52" s="12"/>
      <c r="E52" s="12"/>
      <c r="F52" s="12"/>
      <c r="G52" s="12"/>
      <c r="H52" s="12"/>
      <c r="I52" s="90">
        <v>0</v>
      </c>
      <c r="J52" s="90">
        <v>0</v>
      </c>
      <c r="K52" s="90">
        <v>0</v>
      </c>
      <c r="L52" s="90">
        <v>0</v>
      </c>
      <c r="M52" s="90">
        <v>0</v>
      </c>
      <c r="N52" s="40">
        <f>SUM( I52:M52)</f>
        <v>0</v>
      </c>
      <c r="O52" s="12"/>
      <c r="P52" s="12"/>
      <c r="Q52" s="12"/>
    </row>
    <row r="53" spans="1:17">
      <c r="A53" s="87"/>
      <c r="B53" s="86"/>
      <c r="C53" s="85"/>
      <c r="D53" s="85" t="s">
        <v>81</v>
      </c>
      <c r="E53" s="85"/>
      <c r="F53" s="85"/>
      <c r="G53" s="85"/>
      <c r="H53" s="85"/>
      <c r="I53" s="48">
        <f>SUM(I50:I52)</f>
        <v>0</v>
      </c>
      <c r="J53" s="48">
        <f>SUM(J50:J52)</f>
        <v>0</v>
      </c>
      <c r="K53" s="48">
        <f>SUM(K50:K52)</f>
        <v>0</v>
      </c>
      <c r="L53" s="48">
        <f>SUM(L50:L52)</f>
        <v>0</v>
      </c>
      <c r="M53" s="48">
        <f>SUM(M50:M52)</f>
        <v>0</v>
      </c>
      <c r="N53" s="48">
        <f>SUM( I53:M53)</f>
        <v>0</v>
      </c>
      <c r="O53" s="85"/>
      <c r="P53" s="85"/>
      <c r="Q53" s="85"/>
    </row>
  </sheetData>
  <sheetProtection algorithmName="SHA-512" hashValue="xgVdZpdFwj1UJEJ3Ec93CwFpJ+7PTRe1kIbsq91Aan81qfoJNIdZHyiSJ8n/A7lu3SkyhzJwyONHuost6UsM3w==" saltValue="UW2F+SUCyjlLl2CTmNh+LA=="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50"/>
  <sheetViews>
    <sheetView workbookViewId="0">
      <selection activeCell="B2" sqref="B2:Q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ht="23" customHeight="1">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ht="21.75" customHeight="1">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ht="26" customHeight="1">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ht="30.75" customHeight="1">
      <c r="B41" s="39"/>
      <c r="C41" s="40"/>
      <c r="D41" s="40" t="s">
        <v>51</v>
      </c>
      <c r="E41" s="41"/>
      <c r="F41" s="41"/>
      <c r="G41" s="80"/>
      <c r="H41" s="80">
        <v>0</v>
      </c>
      <c r="I41" s="40">
        <v>0</v>
      </c>
      <c r="J41" s="40">
        <v>0</v>
      </c>
      <c r="K41" s="40">
        <v>0</v>
      </c>
      <c r="L41" s="40">
        <v>0</v>
      </c>
      <c r="M41" s="40">
        <v>0</v>
      </c>
      <c r="N41" s="40">
        <f>SUM( $I$41:$M$41)</f>
        <v>0</v>
      </c>
      <c r="O41" s="40"/>
      <c r="P41" s="42" t="s">
        <v>106</v>
      </c>
      <c r="Q41" s="42"/>
    </row>
    <row r="42" spans="2:17" ht="29" customHeight="1">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ht="27.75" customHeight="1">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ht="32" customHeight="1">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ht="29" customHeight="1">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ht="29" customHeight="1">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2: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2:17">
      <c r="B50" s="48"/>
      <c r="C50" s="48"/>
      <c r="D50" s="48" t="s">
        <v>194</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sheetData>
  <sheetProtection algorithmName="SHA-512" hashValue="DGLQQXZKm0dsdW/e05mnOAs46MJwCVJbJoUb/33fsltdwbvgF6MVwJzwN9eGbTEm7vjaEdvJcVJjw3ntAHXkCg==" saltValue="ALW66+tBGAGx1SM0e19sOQ=="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adO8jF+Cpl5XsLYpK68/mGmeFhzND1rRcVigPDPsDSOSBYxdFKfHB6kO4wLw1f4XQ0N6OairpBJ0xiRDuSzaOQ==" saltValue="8dSmVJNa1TypIPD3V1wL4Q=="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63500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5"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9" t="str">
        <f>VersionNo</f>
        <v>PropBud v1.12</v>
      </c>
    </row>
    <row r="2" spans="1:17">
      <c r="A2" s="9"/>
    </row>
    <row r="3" spans="1:17" s="3" customFormat="1">
      <c r="E3" s="28" t="s">
        <v>9</v>
      </c>
      <c r="F3" s="22" t="s">
        <v>7</v>
      </c>
      <c r="G3" s="23"/>
      <c r="H3" s="23"/>
      <c r="I3" s="4" t="s">
        <v>100</v>
      </c>
      <c r="J3" s="4"/>
      <c r="K3" s="4"/>
      <c r="L3" s="4"/>
      <c r="M3" s="4"/>
      <c r="N3" s="5" t="s">
        <v>59</v>
      </c>
      <c r="O3" s="5"/>
      <c r="P3" s="26" t="s">
        <v>111</v>
      </c>
      <c r="Q3" s="26" t="s">
        <v>87</v>
      </c>
    </row>
    <row r="4" spans="1:17" s="3" customFormat="1">
      <c r="A4" s="6" t="s">
        <v>110</v>
      </c>
      <c r="B4" s="38">
        <f>FacInflationPct</f>
        <v>0.03</v>
      </c>
      <c r="D4" s="90"/>
      <c r="E4" s="89">
        <v>0</v>
      </c>
      <c r="F4" s="33">
        <v>0</v>
      </c>
      <c r="G4" s="24" t="s">
        <v>61</v>
      </c>
      <c r="H4" s="7">
        <f>$E4/9*$F4</f>
        <v>0</v>
      </c>
      <c r="I4" s="90">
        <f>H4*(1+$B4)</f>
        <v>0</v>
      </c>
      <c r="J4" s="90"/>
      <c r="K4" s="90"/>
      <c r="L4" s="90"/>
      <c r="M4" s="90"/>
      <c r="N4" s="7">
        <f>SUM(I4)</f>
        <v>0</v>
      </c>
      <c r="O4" s="7"/>
      <c r="P4" s="29" t="s">
        <v>102</v>
      </c>
      <c r="Q4" s="29" t="s">
        <v>89</v>
      </c>
    </row>
    <row r="5" spans="1:17" s="3" customFormat="1">
      <c r="A5" s="6" t="s">
        <v>110</v>
      </c>
      <c r="B5" s="38">
        <f>FacInflationPct</f>
        <v>0.03</v>
      </c>
      <c r="D5" s="34"/>
      <c r="E5" s="154"/>
      <c r="F5" s="33">
        <v>0</v>
      </c>
      <c r="G5" s="24" t="s">
        <v>62</v>
      </c>
      <c r="H5" s="7">
        <f>$E4/9*$F5</f>
        <v>0</v>
      </c>
      <c r="I5" s="90">
        <f>H5*(1+$B5)</f>
        <v>0</v>
      </c>
      <c r="J5" s="90"/>
      <c r="K5" s="90"/>
      <c r="L5" s="90"/>
      <c r="M5" s="90"/>
      <c r="N5" s="8">
        <f>SUM(I5)</f>
        <v>0</v>
      </c>
      <c r="O5" s="8"/>
      <c r="P5" s="29" t="s">
        <v>102</v>
      </c>
      <c r="Q5" s="29" t="s">
        <v>88</v>
      </c>
    </row>
    <row r="6" spans="1:17">
      <c r="E6" s="27"/>
      <c r="I6" s="12"/>
      <c r="J6" s="12"/>
      <c r="K6" s="12"/>
      <c r="L6" s="12"/>
      <c r="M6" s="12"/>
      <c r="N6" s="12"/>
      <c r="P6" s="25"/>
      <c r="Q6" s="25"/>
    </row>
    <row r="7" spans="1:17">
      <c r="E7" s="27"/>
      <c r="I7" s="12"/>
      <c r="J7" s="12"/>
      <c r="K7" s="12"/>
      <c r="L7" s="12"/>
      <c r="M7" s="12"/>
      <c r="N7" s="12"/>
      <c r="P7" s="25"/>
      <c r="Q7" s="25"/>
    </row>
    <row r="8" spans="1:17">
      <c r="A8" s="6" t="s">
        <v>110</v>
      </c>
      <c r="B8" s="38">
        <f>FacInflationPct</f>
        <v>0.03</v>
      </c>
      <c r="D8" s="107"/>
      <c r="E8" s="89">
        <v>0</v>
      </c>
      <c r="F8" s="33">
        <v>0</v>
      </c>
      <c r="G8" s="24" t="s">
        <v>10</v>
      </c>
      <c r="H8" s="7">
        <f>$E8/12*$F8</f>
        <v>0</v>
      </c>
      <c r="I8" s="90">
        <f>H8*(1+$B8)</f>
        <v>0</v>
      </c>
      <c r="J8" s="90"/>
      <c r="K8" s="90"/>
      <c r="L8" s="90"/>
      <c r="M8" s="90"/>
      <c r="N8" s="8">
        <f>SUM(I8)</f>
        <v>0</v>
      </c>
      <c r="O8" s="8"/>
      <c r="P8" s="29" t="s">
        <v>102</v>
      </c>
      <c r="Q8" s="29" t="s">
        <v>89</v>
      </c>
    </row>
    <row r="10" spans="1:17">
      <c r="I10" s="64">
        <v>0</v>
      </c>
      <c r="J10" s="64"/>
      <c r="K10" s="64"/>
      <c r="L10" s="64"/>
      <c r="M10" s="64"/>
    </row>
    <row r="11" spans="1:17">
      <c r="C11" s="12" t="s">
        <v>79</v>
      </c>
      <c r="I11" s="90">
        <v>0</v>
      </c>
      <c r="J11" s="90">
        <v>0</v>
      </c>
      <c r="K11" s="90">
        <v>0</v>
      </c>
      <c r="L11" s="90">
        <v>0</v>
      </c>
      <c r="M11" s="90">
        <v>0</v>
      </c>
      <c r="N11" s="40">
        <f>SUM( I11:M11)</f>
        <v>0</v>
      </c>
    </row>
    <row r="12" spans="1:17">
      <c r="C12" s="12" t="s">
        <v>80</v>
      </c>
      <c r="I12" s="90">
        <v>0</v>
      </c>
      <c r="J12" s="90">
        <v>0</v>
      </c>
      <c r="K12" s="90">
        <v>0</v>
      </c>
      <c r="L12" s="90">
        <v>0</v>
      </c>
      <c r="M12" s="90">
        <v>0</v>
      </c>
      <c r="N12" s="40">
        <f>SUM( I12:M12)</f>
        <v>0</v>
      </c>
    </row>
    <row r="13" spans="1:17" ht="29" customHeight="1">
      <c r="A13" s="87"/>
      <c r="B13" s="86"/>
      <c r="C13" s="85"/>
      <c r="D13" s="85" t="s">
        <v>81</v>
      </c>
      <c r="E13" s="85"/>
      <c r="F13" s="85"/>
      <c r="G13" s="85"/>
      <c r="H13" s="85"/>
      <c r="I13" s="48">
        <f>SUM(I10:I12)</f>
        <v>0</v>
      </c>
      <c r="J13" s="48">
        <f>SUM(J10:J12)</f>
        <v>0</v>
      </c>
      <c r="K13" s="48">
        <f>SUM(K10:K12)</f>
        <v>0</v>
      </c>
      <c r="L13" s="48">
        <f>SUM(L10:L12)</f>
        <v>0</v>
      </c>
      <c r="M13" s="48">
        <f>SUM(M10:M12)</f>
        <v>0</v>
      </c>
      <c r="N13" s="48">
        <f>SUM( I13:M13)</f>
        <v>0</v>
      </c>
      <c r="O13" s="85"/>
      <c r="P13" s="85"/>
      <c r="Q13" s="85"/>
    </row>
    <row r="18" spans="7:7">
      <c r="G18" s="88"/>
    </row>
  </sheetData>
  <sheetProtection algorithmName="SHA-512" hashValue="4N8LYOf3RYPMfvCT/eiJsa33OmwzLJ2+0AbPSTpoOYwQMTWoImwS5fQGKpJ0gpXzKQJGaCD81dikIOPX0IVEvw==" saltValue="mP/G3ZVeItXE4B+YFu8wgQ==" spinCount="100000"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49"/>
  <sheetViews>
    <sheetView topLeftCell="A25" workbookViewId="0">
      <selection activeCell="K12" sqref="K12"/>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v1.12</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0.44500000000000001</v>
      </c>
      <c r="D40" s="15">
        <v>8.3000000000000004E-2</v>
      </c>
      <c r="E40" s="15">
        <v>0.312</v>
      </c>
    </row>
    <row r="41" spans="1:5">
      <c r="A41" s="14">
        <v>42186</v>
      </c>
      <c r="B41" s="14">
        <v>42551</v>
      </c>
      <c r="C41" s="15">
        <v>0.44500000000000001</v>
      </c>
      <c r="D41" s="15">
        <v>8.3000000000000004E-2</v>
      </c>
      <c r="E41" s="15">
        <v>0.312</v>
      </c>
    </row>
    <row r="42" spans="1:5">
      <c r="A42" s="14">
        <v>42552</v>
      </c>
      <c r="B42" s="14">
        <v>42916</v>
      </c>
      <c r="C42" s="15">
        <v>0.44500000000000001</v>
      </c>
      <c r="D42" s="15">
        <v>8.3000000000000004E-2</v>
      </c>
      <c r="E42" s="15">
        <v>0.312</v>
      </c>
    </row>
    <row r="43" spans="1:5">
      <c r="A43" s="14">
        <v>42917</v>
      </c>
      <c r="B43" s="14">
        <v>43281</v>
      </c>
      <c r="C43" s="15">
        <v>0.44500000000000001</v>
      </c>
      <c r="D43" s="15">
        <v>8.3000000000000004E-2</v>
      </c>
      <c r="E43" s="15">
        <v>0.312</v>
      </c>
    </row>
    <row r="44" spans="1:5">
      <c r="A44" s="14">
        <v>43282</v>
      </c>
      <c r="B44" s="14">
        <v>43646</v>
      </c>
      <c r="C44" s="15">
        <v>0.44500000000000001</v>
      </c>
      <c r="D44" s="15">
        <v>8.3000000000000004E-2</v>
      </c>
      <c r="E44" s="15">
        <v>0.312</v>
      </c>
    </row>
    <row r="45" spans="1:5">
      <c r="A45" s="14">
        <v>43647</v>
      </c>
      <c r="B45" s="14">
        <v>44012</v>
      </c>
      <c r="C45" s="15">
        <v>0.44500000000000001</v>
      </c>
      <c r="D45" s="15">
        <v>8.3000000000000004E-2</v>
      </c>
      <c r="E45" s="15">
        <v>0.312</v>
      </c>
    </row>
    <row r="46" spans="1:5">
      <c r="A46" s="14">
        <v>44013</v>
      </c>
      <c r="B46" s="14">
        <v>44377</v>
      </c>
      <c r="C46" s="15">
        <v>0.44500000000000001</v>
      </c>
      <c r="D46" s="15">
        <v>8.3000000000000004E-2</v>
      </c>
      <c r="E46" s="15">
        <v>0.312</v>
      </c>
    </row>
    <row r="47" spans="1:5">
      <c r="A47" s="14">
        <v>44378</v>
      </c>
      <c r="B47" s="14">
        <v>44742</v>
      </c>
      <c r="C47" s="15">
        <v>0.44500000000000001</v>
      </c>
      <c r="D47" s="15">
        <v>8.3000000000000004E-2</v>
      </c>
      <c r="E47" s="15">
        <v>0.312</v>
      </c>
    </row>
    <row r="48" spans="1:5">
      <c r="A48" s="14">
        <v>44743</v>
      </c>
      <c r="B48" s="14">
        <v>45107</v>
      </c>
      <c r="C48" s="15">
        <v>0.44500000000000001</v>
      </c>
      <c r="D48" s="15">
        <v>8.3000000000000004E-2</v>
      </c>
      <c r="E48" s="15">
        <v>0.312</v>
      </c>
    </row>
    <row r="49" spans="1:5">
      <c r="A49" s="14">
        <v>45108</v>
      </c>
      <c r="B49" s="14">
        <v>45473</v>
      </c>
      <c r="C49" s="15">
        <v>0.44500000000000001</v>
      </c>
      <c r="D49" s="15">
        <v>8.3000000000000004E-2</v>
      </c>
      <c r="E49" s="15">
        <v>0.312</v>
      </c>
    </row>
  </sheetData>
  <sheetProtection algorithmName="SHA-512" hashValue="BMSmBmPccOlsfy6erltrIvIgcvJ7kaS5cW1EtZ8zUPHNr05HWRpUxvC3C3JdRWd59F3hIUl6Lcvk73Si9xcqkQ==" saltValue="LAZHPa4v+2VMKwm+r9VfhQ=="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v1.12</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XvbtjlERfdVFlgJ6ObfUH9KVyBBeHhLdQoo5uHa6vZlI7MwnXuxLUjfkJMmghMZrY9OJNWIi2KzydCx/LaR1Fw==" saltValue="Sq3rRf5jf++uGvn8GKyoCA=="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8"/>
  <sheetViews>
    <sheetView workbookViewId="0">
      <selection activeCell="A20" sqref="A20:IV20"/>
    </sheetView>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c r="A1" t="str">
        <f>VersionNo</f>
        <v>PropBud v1.12</v>
      </c>
      <c r="B1" s="164">
        <v>41309</v>
      </c>
      <c r="C1" s="163" t="s">
        <v>180</v>
      </c>
    </row>
    <row r="2" spans="1:3">
      <c r="A2" t="s">
        <v>181</v>
      </c>
      <c r="B2" s="164">
        <v>40695</v>
      </c>
      <c r="C2" s="163" t="s">
        <v>178</v>
      </c>
    </row>
    <row r="3" spans="1:3">
      <c r="A3" s="169" t="s">
        <v>177</v>
      </c>
      <c r="B3" s="164">
        <v>40312</v>
      </c>
      <c r="C3" s="163" t="s">
        <v>178</v>
      </c>
    </row>
    <row r="4" spans="1:3" ht="52">
      <c r="A4" t="s">
        <v>175</v>
      </c>
      <c r="B4" s="170">
        <v>40190</v>
      </c>
      <c r="C4" s="171" t="s">
        <v>176</v>
      </c>
    </row>
    <row r="5" spans="1:3">
      <c r="A5" t="s">
        <v>172</v>
      </c>
      <c r="B5" s="164">
        <v>39976</v>
      </c>
      <c r="C5" s="163" t="s">
        <v>171</v>
      </c>
    </row>
    <row r="6" spans="1:3">
      <c r="A6" t="s">
        <v>167</v>
      </c>
      <c r="B6" s="164">
        <v>39973</v>
      </c>
      <c r="C6" s="163" t="s">
        <v>170</v>
      </c>
    </row>
    <row r="7" spans="1:3">
      <c r="A7" t="s">
        <v>165</v>
      </c>
      <c r="B7" s="164">
        <v>39955</v>
      </c>
      <c r="C7" s="163" t="s">
        <v>169</v>
      </c>
    </row>
    <row r="8" spans="1:3" ht="39">
      <c r="A8" t="s">
        <v>168</v>
      </c>
      <c r="B8" s="164">
        <v>39659</v>
      </c>
      <c r="C8" s="163" t="s">
        <v>164</v>
      </c>
    </row>
  </sheetData>
  <sheetProtection algorithmName="SHA-512" hashValue="h2nbuqviu2y2KtK1b78MawEbnQEjzFWYtf63taxLwgIi7WnggmTSFBrYpD1dIOZvLGTQwgGxnry+eWLVXY1hwg==" saltValue="G4fmC6c/ufAsPt5A9NRUIg==" spinCount="100000" sheet="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Setup</vt:lpstr>
      <vt:lpstr>Sponsor</vt:lpstr>
      <vt:lpstr>SubAwards</vt:lpstr>
      <vt:lpstr>Cost Sharing</vt:lpstr>
      <vt:lpstr>Pgm Income</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2014-02-18T17:01:58Z</dcterms:modified>
</cp:coreProperties>
</file>